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 tabRatio="811" activeTab="1"/>
  </bookViews>
  <sheets>
    <sheet name="AMPARO" sheetId="12" r:id="rId1"/>
    <sheet name="TABULADOR" sheetId="11" r:id="rId2"/>
    <sheet name="AUT 1.0 A 1.5" sheetId="2" r:id="rId3"/>
    <sheet name="TRACTORES DE CARRETERA-IGNORAR" sheetId="1" r:id="rId4"/>
    <sheet name="AUT 1.6 A 3.0" sheetId="3" r:id="rId5"/>
    <sheet name="AUT 3.1 en adelante" sheetId="5" r:id="rId6"/>
    <sheet name="CAM 1.6 A 3.0" sheetId="9" r:id="rId7"/>
    <sheet name="CAM 3.1 en adelante" sheetId="10" r:id="rId8"/>
    <sheet name="DEPORTIVOS-IGNORAR" sheetId="6" r:id="rId9"/>
    <sheet name="DIESEL-IGNORAR" sheetId="7" r:id="rId10"/>
    <sheet name="PICK UP´S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<sst xmlns="http://schemas.openxmlformats.org/spreadsheetml/2006/main" count="2103" uniqueCount="939">
  <si>
    <t>AÑO</t>
  </si>
  <si>
    <t>4 CIL CARROS Y SUV</t>
  </si>
  <si>
    <t>6 CIL CARROS Y SUV</t>
  </si>
  <si>
    <t>8 CIL CARROS Y SUB</t>
  </si>
  <si>
    <t>PICK UP</t>
  </si>
  <si>
    <t xml:space="preserve"> LUJO (CONSULTAR)</t>
  </si>
  <si>
    <t>TABULADOR 2017-2018</t>
  </si>
  <si>
    <t>VALOR ADUANA DOLARES</t>
  </si>
  <si>
    <t>TIPO DE CAMBIO</t>
  </si>
  <si>
    <t xml:space="preserve">  </t>
  </si>
  <si>
    <t>VALOR EN PESOS</t>
  </si>
  <si>
    <t xml:space="preserve">IGI   </t>
  </si>
  <si>
    <t>DTA</t>
  </si>
  <si>
    <t>IVA</t>
  </si>
  <si>
    <t>IMPUESTOS</t>
  </si>
  <si>
    <t>HONORARIO</t>
  </si>
  <si>
    <t>TOTAL</t>
  </si>
  <si>
    <t>TABULADOR 2016 Y ANT</t>
  </si>
  <si>
    <t>VALOR ADUANA</t>
  </si>
  <si>
    <t>PREV</t>
  </si>
  <si>
    <t>IGI</t>
  </si>
  <si>
    <t>prv</t>
  </si>
  <si>
    <t>TOTTAL</t>
  </si>
  <si>
    <t>…….</t>
  </si>
  <si>
    <t>AUTOMÓVILES DE TURISMO Y DEMÁS VEHÍCULOS AUTOMÓVILES CONCEBIDOS  PRINCIPALMENTE PARA EL TRANSPORTE DE PERSONAS (EXCEPTO LOS DE LA PARTIDA 87.02), INCLUIDOS LOS VEHÍCULOS DEL TIPO FAMILIAR (“BREAK” O “STATION WAGON”) Y LOS DE CARRERAS. LOS DEMÁS VEHÍCULOS CON MOTOR DE ÉMBOLO (PISTÓN) ALTERNATIVO, DE ENCENDIDO POR CHISPA: DE CILINDRADA SUPERIOR A 1,000 CM3 PERO INFERIOR O IGUAL A 1,500 CM3.</t>
  </si>
  <si>
    <t>8703.22.02</t>
  </si>
  <si>
    <t>UNIDAD COMER-CIAL</t>
  </si>
  <si>
    <t>12 AÑOS O MAS</t>
  </si>
  <si>
    <t>11 AÑOS</t>
  </si>
  <si>
    <t>10 AÑOS</t>
  </si>
  <si>
    <t>9 AÑOS</t>
  </si>
  <si>
    <t>8 AÑOS</t>
  </si>
  <si>
    <t>7 AÑOS</t>
  </si>
  <si>
    <t>6 AÑOS</t>
  </si>
  <si>
    <t>5 AÑOS</t>
  </si>
  <si>
    <t>4 AÑOS</t>
  </si>
  <si>
    <t>A) AUTOMOVILES</t>
  </si>
  <si>
    <t>CHEVROLET</t>
  </si>
  <si>
    <t>METR0-3CYL.</t>
  </si>
  <si>
    <t>Pza</t>
  </si>
  <si>
    <t>METR0-4 CYL.</t>
  </si>
  <si>
    <t>VOLT-4 CYL.</t>
  </si>
  <si>
    <t>HONDA</t>
  </si>
  <si>
    <t>FIT-4 CYL.</t>
  </si>
  <si>
    <t>INSIGHT-3 CYL.</t>
  </si>
  <si>
    <t>CR-Z-4 CYL.</t>
  </si>
  <si>
    <t>HYUNDAI</t>
  </si>
  <si>
    <t>ACCENT-4 CYL.</t>
  </si>
  <si>
    <t>KIA</t>
  </si>
  <si>
    <t>RIO-4 CYL.</t>
  </si>
  <si>
    <t>MAZDA</t>
  </si>
  <si>
    <t>PR0TEGE-4 CYL.</t>
  </si>
  <si>
    <t>RX-8-ROTARY</t>
  </si>
  <si>
    <t>MITSUBISHI</t>
  </si>
  <si>
    <t>MIRAGE-4 CYL.</t>
  </si>
  <si>
    <t>SCION</t>
  </si>
  <si>
    <t>XA-4 CYL.</t>
  </si>
  <si>
    <t>XB-4 CYL.</t>
  </si>
  <si>
    <t>SMART</t>
  </si>
  <si>
    <t>FORTWO-3 CYL.</t>
  </si>
  <si>
    <t>SUZUKI</t>
  </si>
  <si>
    <t>SWIFT-4 CYL.</t>
  </si>
  <si>
    <t>TOYOTA</t>
  </si>
  <si>
    <t>ECHO-4 CYL.</t>
  </si>
  <si>
    <t>PRIUS-4 CYL.</t>
  </si>
  <si>
    <t>TERCEL-4CYL.</t>
  </si>
  <si>
    <t>YARIS-4 CYL.</t>
  </si>
  <si>
    <t>VOLVO</t>
  </si>
  <si>
    <t>C30-5 CYL. TURBO</t>
  </si>
  <si>
    <t>PRECIOS GENERICOS DEL 1.0 AL 1.5</t>
  </si>
  <si>
    <t>CATÁLOGO</t>
  </si>
  <si>
    <t>FRACCION </t>
  </si>
  <si>
    <t>DESCRIPCION</t>
  </si>
  <si>
    <t>UNIDAD </t>
  </si>
  <si>
    <r>
      <rPr>
        <b/>
        <sz val="8"/>
        <color theme="1"/>
        <rFont val="Verdana"/>
        <charset val="134"/>
      </rPr>
      <t>PRECIO ESTIMADO EN DOLARES DE E.U.A. POR UNIDAD COMERCIAL Y POR</t>
    </r>
    <r>
      <rPr>
        <sz val="8"/>
        <color theme="1"/>
        <rFont val="Verdana"/>
        <charset val="134"/>
      </rPr>
      <t> </t>
    </r>
  </si>
  <si>
    <t>NUMÉRICO</t>
  </si>
  <si>
    <t>ARANCELARIA</t>
  </si>
  <si>
    <t>COMERCIAL</t>
  </si>
  <si>
    <t>ANTIGÜEDAD DEL AÑO MODELO</t>
  </si>
  <si>
    <t>(PREVALIDADOR)</t>
  </si>
  <si>
    <t>12 AÑOS </t>
  </si>
  <si>
    <t>10 AÑOS </t>
  </si>
  <si>
    <t>O MAS</t>
  </si>
  <si>
    <t>8701.20.02</t>
  </si>
  <si>
    <t>Tractores de carretera para semirremolques</t>
  </si>
  <si>
    <t>FREIGHTLINER</t>
  </si>
  <si>
    <t>ARGOSY 63-110” BBC ALUMINUM TILT CAB</t>
  </si>
  <si>
    <t>BUSINESS CLASS M2 112 112” BBC ALUM CAB</t>
  </si>
  <si>
    <t>CENTURY CLASS 112” BBC ALUMINUM CAB</t>
  </si>
  <si>
    <t>CENTURY CLASS S/T 112” BBC ALUM CAB</t>
  </si>
  <si>
    <t>CENTURY CLASS 120” BBC ALUMINUM CAB</t>
  </si>
  <si>
    <t>CENTURY CLASS S/T 120” BBC ALUM CAB</t>
  </si>
  <si>
    <t>COLUMBIA 112” BBC ALUMINUM CAB</t>
  </si>
  <si>
    <t>COLUMBIA 120” BBC ALUMINUM CAB</t>
  </si>
  <si>
    <t>CONDOR 68” BBC ALUMINUM CAB</t>
  </si>
  <si>
    <t>CORONADO 132” BBC ALUMINUM CAB CORONADO</t>
  </si>
  <si>
    <t>CORONADO 122-132" BBC ALUMINUM CAB</t>
  </si>
  <si>
    <t>FL 112” BBC STEEL CAB FL112</t>
  </si>
  <si>
    <t>FL 112” BBC STEEL CAB FL112/BUSINESS CLASS M2 112” BBC STEEL CAB</t>
  </si>
  <si>
    <t>FLD 112” BBC ALUMINUM CAB</t>
  </si>
  <si>
    <t>FLD 120”-132” BBC ALUMINUM CAB</t>
  </si>
  <si>
    <t>FLD/CLASSIC 120”-132” BBC ALUM CAB</t>
  </si>
  <si>
    <t>FLD SEVERE DUTY 112”-120” BBC ALUMINUM CAB</t>
  </si>
  <si>
    <t>INTERNATIONAL</t>
  </si>
  <si>
    <t>2/ 5/7000 SERIES 114-120”BBC STEEL/ALUMINUM CAB</t>
  </si>
  <si>
    <t>2/5000 SERIES 114-120”BBC STEEL/ALUMINUM CAB</t>
  </si>
  <si>
    <t>5/7000 SERIES 114-120”BBC STEEL/ALUMINUM CAB</t>
  </si>
  <si>
    <t>8/9000 SERIES 96”-112”BBC STEEL/ALUMINUM CAB</t>
  </si>
  <si>
    <t>85/8600 SERIES 107-113”BBC STEEL CAB</t>
  </si>
  <si>
    <t>2000/5000   SERIES   114-120”BBC   STEEL/ALUMINUM CAB</t>
  </si>
  <si>
    <t>9200-9900 112”-130” BBC ALUMINUM CAB</t>
  </si>
  <si>
    <t>9900/PROSTAR/LONESTAR 112"-132" BBC ALUMINIUM CAB</t>
  </si>
  <si>
    <t>TRANSTAR 85/8600 SERIES 107"-113" BBC STEEL CAB</t>
  </si>
  <si>
    <t>KENWORTH</t>
  </si>
  <si>
    <t>C500 123” BBC ALUMINUM CAB</t>
  </si>
  <si>
    <t>T600/800/2000/W900 120”-130”BBC ALUMINUM</t>
  </si>
  <si>
    <t>T660/800/2000/W900 123"-139" BBC ALUM CAB</t>
  </si>
  <si>
    <t>T800/CITYCAB 112” BBC ALUMINUM CAB</t>
  </si>
  <si>
    <t>WORK CAB 123” BBC ALUMINUM CAB</t>
  </si>
  <si>
    <t>MACK</t>
  </si>
  <si>
    <t>CH/CL//CX SERIES 112”-123” BBC STEEL</t>
  </si>
  <si>
    <t>CH/CX SERIES 112”-123” BBC STEELCAB</t>
  </si>
  <si>
    <t>CL700 SERIES 123” BBC STEEL CAB</t>
  </si>
  <si>
    <t>GRANITE CV500/700 SERIES 108” BBC STEEL CAB</t>
  </si>
  <si>
    <t>GRANITE/TITAN SERIES 116.5"-128" BBC STEEL CAB</t>
  </si>
  <si>
    <t>DM/DMM SERIES 101”-109” BBC STEEL CAB</t>
  </si>
  <si>
    <t>LE/MR SERIES 63” BBC STEEL CAB LE603</t>
  </si>
  <si>
    <t>PINNACLE SERIES 117" BBC STEEL CAB</t>
  </si>
  <si>
    <t>RB/RD SERIES 117”-129” BBC STEEL CAB</t>
  </si>
  <si>
    <t>PETERBILT</t>
  </si>
  <si>
    <t>320 58” BBC ALUMINUM CAB</t>
  </si>
  <si>
    <t>357 119” BBC ALUMINUM CAB</t>
  </si>
  <si>
    <t>362 76”/90” BBC ALUMINUM TILT CAB</t>
  </si>
  <si>
    <t>362 90” BBC ALUMINUM TILT CAB</t>
  </si>
  <si>
    <t>362 90”-110” BBC ALUMINUM TILT CAB</t>
  </si>
  <si>
    <t>365/367 115"-123" BBC ALUMINUM CAB</t>
  </si>
  <si>
    <t>377/ 378/379/385/387 111”-127” ALUMINUM CAB</t>
  </si>
  <si>
    <t>382/386/388/389/587 112"-131" ALUM CAB</t>
  </si>
  <si>
    <t>385 112” BBC ALUMINUM CAB</t>
  </si>
  <si>
    <t>STERLING</t>
  </si>
  <si>
    <t>A/ST9500  SERIES  113”-122”  BBC  STEEL  ALUMINUM CAB</t>
  </si>
  <si>
    <t>LT7/8/9500  SERIES  101”-122”BBC  STEEL  ALUMINUM CAB</t>
  </si>
  <si>
    <t>AUTOCAR ACL 64 112” BBC STEEL CAB</t>
  </si>
  <si>
    <t>VN SERIES 113”-189” BBC STEEL CAB</t>
  </si>
  <si>
    <t>VN/VT SERIES 113"-201" BBC STEEL CAB</t>
  </si>
  <si>
    <t>UVHD 113.6” BBC STEEL CAB</t>
  </si>
  <si>
    <t>WG64T 112” BBC STEEL CAB</t>
  </si>
  <si>
    <t>XPEDITOR SERIES 81”-90” BBC STEEL CAB</t>
  </si>
  <si>
    <t>WESTERN STAR</t>
  </si>
  <si>
    <t>4800/5800 SERIES 109” BBC STEEL CAB</t>
  </si>
  <si>
    <t>4900 SERIES 123”-132” BBC STEEL CAB</t>
  </si>
  <si>
    <t>4900 SERIES 123”-132” BBC STEEL CAB 4900</t>
  </si>
  <si>
    <t>4900/5900 SERIES 123”-132” BBC STEEL CAB</t>
  </si>
  <si>
    <t>4900/5900 SERIES 123”-132” BBC STEEL CAB 4900 EX EXT. HOOD</t>
  </si>
  <si>
    <t>6900 SERIES 141” BBC STEEL CAB</t>
  </si>
  <si>
    <t>PRECIOS ESTIMADOS APLICABLES A VEHICULOS EN CUYO AÑO-MODELO NO SE ESTABLECE DICHO PRECIO, ASI COMO PARA OTROS MODELOS Y MARCAS DE VEHICULOS NO LISTADOS, EN ESTA FRACCION ARANCELARIA</t>
  </si>
  <si>
    <t>AUTOMÓVILES DE TURISMO Y DEMÁS VEHÍCULOS AUTOMÓVILES CONCEBIDOS  PRINCIPALMENTE PARA EL TRANSPORTE DE PERSONAS (EXCEPTO LOS DE LA PARTIDA 87.02), INCLUIDOS LOS VEHÍCULOS DEL TIPO FAMILIAR (“BREAK” O “STATION WAGON”) Y LOS DE CARRERAS. LOS DEMÁS VEHÍCULOS CON MOTOR DE ÉMBOLO (PISTÓN) ALTERNATIVO, DE ENCENDIDO POR CHISPA: DE CILINDRADA SUPERIOR A 1,500 CM3 PERO INFERIOR O IGUAL A 3,000 CM3.</t>
  </si>
  <si>
    <t>8703.23.02</t>
  </si>
  <si>
    <t>ACURA</t>
  </si>
  <si>
    <t>CL-V6</t>
  </si>
  <si>
    <t>CL-4 CYL.</t>
  </si>
  <si>
    <t>INTEGRA-4 CYL.</t>
  </si>
  <si>
    <t>RSX-4 CYL.</t>
  </si>
  <si>
    <t>TSX-4 CYL</t>
  </si>
  <si>
    <t>AUDI</t>
  </si>
  <si>
    <t>A3-4 CYL.</t>
  </si>
  <si>
    <t>A4-4 CYL.</t>
  </si>
  <si>
    <t>A4-4 CYL. TURBO</t>
  </si>
  <si>
    <t>A5-4 CYL. TURBO</t>
  </si>
  <si>
    <t>A4-V6</t>
  </si>
  <si>
    <t>A6-V6</t>
  </si>
  <si>
    <t>CABRI0LET-V6</t>
  </si>
  <si>
    <t>S4</t>
  </si>
  <si>
    <t>S5</t>
  </si>
  <si>
    <t>TT-4 CYL.</t>
  </si>
  <si>
    <t>TTS-4 CYL TURBO</t>
  </si>
  <si>
    <t>BMW</t>
  </si>
  <si>
    <t>1 SERIES</t>
  </si>
  <si>
    <t>3 SERIES</t>
  </si>
  <si>
    <t>5 SERIES</t>
  </si>
  <si>
    <t>Z SERIES</t>
  </si>
  <si>
    <t>BUICK</t>
  </si>
  <si>
    <t>LACROSSE-4 CYL.</t>
  </si>
  <si>
    <t>REGAL-4 CYL.</t>
  </si>
  <si>
    <t>CADILLAC</t>
  </si>
  <si>
    <t>CTS-V6</t>
  </si>
  <si>
    <t>AVEO-L4</t>
  </si>
  <si>
    <t>CAVALIER-L4</t>
  </si>
  <si>
    <t>CLASSIC-L4</t>
  </si>
  <si>
    <t>CRUZE-4 CYL.</t>
  </si>
  <si>
    <t>HHR-4 CYL.</t>
  </si>
  <si>
    <t>MALIBU-4 CYL</t>
  </si>
  <si>
    <t>PRIZM-4 CYL</t>
  </si>
  <si>
    <t>CHRYSLER</t>
  </si>
  <si>
    <t>300-V6</t>
  </si>
  <si>
    <t>CIRRUS-V6</t>
  </si>
  <si>
    <t>CONCORDE-V6</t>
  </si>
  <si>
    <t>PT CRUISER-4 CYL.</t>
  </si>
  <si>
    <t>SEBRING-4 CYL.</t>
  </si>
  <si>
    <t>SEBRING-V6</t>
  </si>
  <si>
    <t>DAEWOO</t>
  </si>
  <si>
    <t>LANOS-4 CYL.</t>
  </si>
  <si>
    <t>LEGANZA-4 CYL.</t>
  </si>
  <si>
    <t>NUBIRA-4 CYL.</t>
  </si>
  <si>
    <t>DODGE</t>
  </si>
  <si>
    <t>AVENGER-4 CYL.</t>
  </si>
  <si>
    <t>x</t>
  </si>
  <si>
    <t>AVENGER-V6</t>
  </si>
  <si>
    <t>CALIBER-4 CYL.</t>
  </si>
  <si>
    <t>CHARGER</t>
  </si>
  <si>
    <t>INTREPID-V6</t>
  </si>
  <si>
    <t>MAGNUM-V6</t>
  </si>
  <si>
    <t>NEON-4 CYL.</t>
  </si>
  <si>
    <t>STRATUS-4 CYL.</t>
  </si>
  <si>
    <t>STRATUS-V6</t>
  </si>
  <si>
    <t>EAGLE</t>
  </si>
  <si>
    <t>TALON-4CYL.</t>
  </si>
  <si>
    <t>FORD</t>
  </si>
  <si>
    <t>CONTOUR-4CYL.</t>
  </si>
  <si>
    <t>CONTOUR-V6</t>
  </si>
  <si>
    <t>ESCORT-4 CYL.</t>
  </si>
  <si>
    <t>FIESTA-4 CYL.</t>
  </si>
  <si>
    <t>FOCUS-4 CYL.</t>
  </si>
  <si>
    <t>FUSION</t>
  </si>
  <si>
    <t>TAURUS-V6</t>
  </si>
  <si>
    <t>ZX2-4CYL.</t>
  </si>
  <si>
    <t>ACCORD-4 CYL.</t>
  </si>
  <si>
    <t>ACCORD-V6</t>
  </si>
  <si>
    <t>CIVIC-4 CYL</t>
  </si>
  <si>
    <t>PRELUDE-4CYL</t>
  </si>
  <si>
    <t>S2000-4 CYL.</t>
  </si>
  <si>
    <t>ELANTRA-4 CYL</t>
  </si>
  <si>
    <t>GENESIS-4 CYL.</t>
  </si>
  <si>
    <t>Sonata 4 cil</t>
  </si>
  <si>
    <t>SONATA-V6</t>
  </si>
  <si>
    <t>TIBURON-4 CYL</t>
  </si>
  <si>
    <t>TIBURON-V6</t>
  </si>
  <si>
    <t>INFINITI</t>
  </si>
  <si>
    <t>G20-4 CYL.</t>
  </si>
  <si>
    <t>I30-V6</t>
  </si>
  <si>
    <t>JAGUAR</t>
  </si>
  <si>
    <t>X-TYPE-V6</t>
  </si>
  <si>
    <t>FORTE-4 CYL.</t>
  </si>
  <si>
    <t>NEW SPECTRA-4 CYL.</t>
  </si>
  <si>
    <t>OPTIMA-4 CYL.</t>
  </si>
  <si>
    <t>OPTIMA-V6</t>
  </si>
  <si>
    <t>SEPHIA-4 CYL.</t>
  </si>
  <si>
    <t>SPECTRA-4 CYL.</t>
  </si>
  <si>
    <t>LEXUS</t>
  </si>
  <si>
    <t>CT-4 CYL.</t>
  </si>
  <si>
    <t>GS-I6/V6</t>
  </si>
  <si>
    <t>HS-4 CYL.</t>
  </si>
  <si>
    <t>IS-I6</t>
  </si>
  <si>
    <t>IS-V6</t>
  </si>
  <si>
    <t>LS-460</t>
  </si>
  <si>
    <t>LINCOLN</t>
  </si>
  <si>
    <t>LS-V6</t>
  </si>
  <si>
    <t>626-4 CYL.</t>
  </si>
  <si>
    <t>626-V6</t>
  </si>
  <si>
    <t>MAZDA 2-4 CYL.</t>
  </si>
  <si>
    <t>MAZDA 3-4 CYL.</t>
  </si>
  <si>
    <t>MAZDA 6-4CYL.</t>
  </si>
  <si>
    <t>MAZDA 6-V6</t>
  </si>
  <si>
    <t>MILLENIA-V6</t>
  </si>
  <si>
    <t>MX-5 MIATA-4 CYL.</t>
  </si>
  <si>
    <t>MERCEDES-BENZ</t>
  </si>
  <si>
    <t>C CLASS</t>
  </si>
  <si>
    <t>SLK CLASS</t>
  </si>
  <si>
    <t>MERCURY</t>
  </si>
  <si>
    <t>COUGAR-V6</t>
  </si>
  <si>
    <t>MILAN-4 CYL.</t>
  </si>
  <si>
    <t>MILAN V6</t>
  </si>
  <si>
    <t>MONTEGO-V6</t>
  </si>
  <si>
    <t>MYSTIQUE-V6</t>
  </si>
  <si>
    <t>SABLE-V6</t>
  </si>
  <si>
    <t>TRACER-4 CYL.</t>
  </si>
  <si>
    <t>MINL</t>
  </si>
  <si>
    <t>COOPER-4 CYL.</t>
  </si>
  <si>
    <t>COOPER CLUBMEN-4 CYL.</t>
  </si>
  <si>
    <t>COOPER COUNTRYMAN-4 CYL.</t>
  </si>
  <si>
    <t>COOPER HARDTOP-4 CYL.</t>
  </si>
  <si>
    <t>CONVERTIBLE-4 CYL.</t>
  </si>
  <si>
    <t>3000 GT-V6</t>
  </si>
  <si>
    <t>ECLIPSE-4 CYL.</t>
  </si>
  <si>
    <t>ECLIPSE-V6</t>
  </si>
  <si>
    <t>GALANT-4 CYL.</t>
  </si>
  <si>
    <t>LANCER-4 CYL.</t>
  </si>
  <si>
    <t>NISSAN</t>
  </si>
  <si>
    <t>200 SX-4CYL.</t>
  </si>
  <si>
    <t>240 SX-4CYL,</t>
  </si>
  <si>
    <t>ALTIMA-4 CYL.</t>
  </si>
  <si>
    <t>CUBE-4 CYL.</t>
  </si>
  <si>
    <t>SENTRA-4 CYI.</t>
  </si>
  <si>
    <t>VERSA-4 CYL.</t>
  </si>
  <si>
    <t>OLDSMOBILE</t>
  </si>
  <si>
    <t>ALERO-4 CYL.</t>
  </si>
  <si>
    <t>PLYMOUTH</t>
  </si>
  <si>
    <t>BREEZE-4 CYL.</t>
  </si>
  <si>
    <t>PONTIAC</t>
  </si>
  <si>
    <t>B0NNEVILLE-V6</t>
  </si>
  <si>
    <t>FIREBIRD-V6</t>
  </si>
  <si>
    <t>GRAND AM-4 CYL.</t>
  </si>
  <si>
    <t>GRAND PRIX-V6</t>
  </si>
  <si>
    <t>SUNFIRE-L4</t>
  </si>
  <si>
    <t>VIBE-L4</t>
  </si>
  <si>
    <t>PORSCHE</t>
  </si>
  <si>
    <t>911-6 CYL. TURBO</t>
  </si>
  <si>
    <t>BOXSTER-6 CYL.</t>
  </si>
  <si>
    <t>CAYMAN-6 CYL.</t>
  </si>
  <si>
    <t>SAAB</t>
  </si>
  <si>
    <t>9-2X-4 CYL. TURBO</t>
  </si>
  <si>
    <t>9-3-4 CYL.</t>
  </si>
  <si>
    <t>9-5-4 CYL.</t>
  </si>
  <si>
    <t>SATURN</t>
  </si>
  <si>
    <t>ION-4 CYL.</t>
  </si>
  <si>
    <t>L SERIES-4 CYL.</t>
  </si>
  <si>
    <t>L SERIES-V6</t>
  </si>
  <si>
    <t>S SERIES-4 CYL.</t>
  </si>
  <si>
    <t>TC-4 CYL</t>
  </si>
  <si>
    <t>XD-4 CYL.</t>
  </si>
  <si>
    <t>SUBARU</t>
  </si>
  <si>
    <t>BAJA-4 CYL.</t>
  </si>
  <si>
    <t>FORESTER-4 CYL.</t>
  </si>
  <si>
    <t>IMPREZA-4 CYL.</t>
  </si>
  <si>
    <t>LEGACY-4 CYL.</t>
  </si>
  <si>
    <t>LEGACY-6 CYL.</t>
  </si>
  <si>
    <t>AERIO-4 CYL.</t>
  </si>
  <si>
    <t>ESTEEM-4 CYL.</t>
  </si>
  <si>
    <t>FORENZA-4 CYL.</t>
  </si>
  <si>
    <t>KIZASHI-4 CYL.</t>
  </si>
  <si>
    <t>RENO-4 CYL.</t>
  </si>
  <si>
    <t>SX4-4 CYL.</t>
  </si>
  <si>
    <t>AVALON</t>
  </si>
  <si>
    <t>CAMRY-4 CYL.</t>
  </si>
  <si>
    <t>CAMRY-V6</t>
  </si>
  <si>
    <t>CELICA-4 CYL.</t>
  </si>
  <si>
    <t>COROLLA-4 CYL.</t>
  </si>
  <si>
    <t>MATRIX-4 CYL.</t>
  </si>
  <si>
    <t>MR2 SPYDER-4 CYL.</t>
  </si>
  <si>
    <t>SOLARA-V6</t>
  </si>
  <si>
    <t>S0LARA-4 CYL</t>
  </si>
  <si>
    <t>SUPRA-I6</t>
  </si>
  <si>
    <t>VENZA-4 CYL.</t>
  </si>
  <si>
    <t>VENZA-V6</t>
  </si>
  <si>
    <t>VOLKSWAGEN</t>
  </si>
  <si>
    <t>CABRIO-4 CYL.</t>
  </si>
  <si>
    <t>CC-4 CYL. TURBO</t>
  </si>
  <si>
    <t>EOS-4 CYL. TURBO</t>
  </si>
  <si>
    <t>GOLF-4 CYL.</t>
  </si>
  <si>
    <t>GOLF-4 CYL.-5 SPD.</t>
  </si>
  <si>
    <t>GOLF-5 CYL.</t>
  </si>
  <si>
    <t>GTI-4 CYL. 6 SPD.</t>
  </si>
  <si>
    <t>JETTA-4 CYL.</t>
  </si>
  <si>
    <t>JETTA-5 CYL.</t>
  </si>
  <si>
    <t>NEW BEETLE-4 CYL.</t>
  </si>
  <si>
    <t>NEW CABRIO-4 CYL.</t>
  </si>
  <si>
    <t>NEW GOLF-4 CYL.</t>
  </si>
  <si>
    <t>NEW JETTA-4 CYL.</t>
  </si>
  <si>
    <t>NEW PASSAT-4 CYL. TURBO</t>
  </si>
  <si>
    <t>NEW PASSAT-V6</t>
  </si>
  <si>
    <t>PASSAT-4CYL.</t>
  </si>
  <si>
    <t>PASSAT CC-4 CYL. TURBO</t>
  </si>
  <si>
    <t>PASSAT CC-V6</t>
  </si>
  <si>
    <t>PASSAT-4 CYL. TURBO</t>
  </si>
  <si>
    <t>PASSAT-V6</t>
  </si>
  <si>
    <t>C30-5 CYL.</t>
  </si>
  <si>
    <t>C70-5CYL.</t>
  </si>
  <si>
    <t>S40-4 CYL.</t>
  </si>
  <si>
    <t>S40-5 CYL.</t>
  </si>
  <si>
    <t>S60-5 CYL.</t>
  </si>
  <si>
    <t>S60-6 CYL.</t>
  </si>
  <si>
    <t>S70-5 CYL.</t>
  </si>
  <si>
    <t>S80-6 CYL.</t>
  </si>
  <si>
    <t>S80-I6</t>
  </si>
  <si>
    <t>S90-I6</t>
  </si>
  <si>
    <t>U</t>
  </si>
  <si>
    <t>V40-4 CYL.</t>
  </si>
  <si>
    <t>V50-5 CYL.</t>
  </si>
  <si>
    <t>V70-5 CYL.</t>
  </si>
  <si>
    <t>V90-I6</t>
  </si>
  <si>
    <t>PRECIOS ESTIMADOS APLICABLES A VEHICULOS EN CUYO AÑO-MODELO NO SE ESTABLECE DICHO PRECIO, ASI COMO PARA OTROS MODELOS Y MARCAS DE VEHICULOS NO LISTADOS, EN EL INCISO</t>
  </si>
  <si>
    <t>A) DE ESTA FRACCION ARANCELARIA</t>
  </si>
  <si>
    <t>AUTOMÓVILES DE TURISMO Y DEMÁS VEHÍCULOS AUTOMÓVILES CONCEBIDOS  PRINCIPALMENTE PARA EL TRANSPORTE DE PERSONAS (EXCEPTO LOS DE LA PARTIDA 87.02), INCLUIDOS LOS VEHÍCULOS DEL TIPO FAMILIAR (“BREAK” O “STATION WAGON”) Y LOS DE CARRERAS. LOS DEMÁS VEHÍCULOS CON MOTOR DE ÉMBOLO (PISTÓN) ALTERNATIVO, DE ENCENDIDO POR CHISPA: DE CILINDRADA SUPERIOR A 3,000 CM3.</t>
  </si>
  <si>
    <t>8703.24.02</t>
  </si>
  <si>
    <t>RL-V6</t>
  </si>
  <si>
    <t>TL-V6</t>
  </si>
  <si>
    <t>TSX-V6</t>
  </si>
  <si>
    <t>A6-V8</t>
  </si>
  <si>
    <t>A8-V8</t>
  </si>
  <si>
    <t>A8 L</t>
  </si>
  <si>
    <t>A8-W12</t>
  </si>
  <si>
    <t>S4-V8</t>
  </si>
  <si>
    <t>S5-V8</t>
  </si>
  <si>
    <t>S6</t>
  </si>
  <si>
    <t>TT-V6</t>
  </si>
  <si>
    <t>6 SERIES</t>
  </si>
  <si>
    <t>7 SERIES</t>
  </si>
  <si>
    <t>M3</t>
  </si>
  <si>
    <t>M5</t>
  </si>
  <si>
    <t>CENTURY-V6</t>
  </si>
  <si>
    <t>LACROSSE-V6</t>
  </si>
  <si>
    <t>LESABRE-V6</t>
  </si>
  <si>
    <t>LUCERNE-V6</t>
  </si>
  <si>
    <t>LUCERNE-V8</t>
  </si>
  <si>
    <t>PARK AVENUE-V6</t>
  </si>
  <si>
    <t>REGAL-V6</t>
  </si>
  <si>
    <t>RLVIERA-V6</t>
  </si>
  <si>
    <t>SKYLARK-V6</t>
  </si>
  <si>
    <t>CTS-V8</t>
  </si>
  <si>
    <t>DEVILLE-V8</t>
  </si>
  <si>
    <t>DTS-V8</t>
  </si>
  <si>
    <t>ELD0RAD0-V8</t>
  </si>
  <si>
    <t>SEVILLE-V8</t>
  </si>
  <si>
    <t>STS-V6</t>
  </si>
  <si>
    <t>STS-V8</t>
  </si>
  <si>
    <t>XLR-V8</t>
  </si>
  <si>
    <t>CAMARO-V6</t>
  </si>
  <si>
    <t>CAMARO-V8</t>
  </si>
  <si>
    <t>CORVETTE-V8</t>
  </si>
  <si>
    <t>IMPALA-V6</t>
  </si>
  <si>
    <t>LUMINA-V6</t>
  </si>
  <si>
    <t>MALIBU-V6</t>
  </si>
  <si>
    <t>MONTE CARLO-V6</t>
  </si>
  <si>
    <t>200-V6</t>
  </si>
  <si>
    <t>300-V8</t>
  </si>
  <si>
    <t>300M-V6</t>
  </si>
  <si>
    <t>CROSSFIRE-V6</t>
  </si>
  <si>
    <t>LHS-V6</t>
  </si>
  <si>
    <t>AVENGER</t>
  </si>
  <si>
    <t>CHALLENGER-V6</t>
  </si>
  <si>
    <t>CHALLENGER-V8</t>
  </si>
  <si>
    <t>MAGNUM-V8</t>
  </si>
  <si>
    <t>CROWN VICTORIA-V8</t>
  </si>
  <si>
    <t>FUSION-V6</t>
  </si>
  <si>
    <t>MUSTANG-V6</t>
  </si>
  <si>
    <t>MUSTANG-V8</t>
  </si>
  <si>
    <t>TAURUS-V8</t>
  </si>
  <si>
    <t>THUNDERBIRD-V8</t>
  </si>
  <si>
    <t>AZERA-V6</t>
  </si>
  <si>
    <t>EQUUS-V8</t>
  </si>
  <si>
    <t>GENESIS-V6</t>
  </si>
  <si>
    <t>GENESIS-V8</t>
  </si>
  <si>
    <t>XG350-V6</t>
  </si>
  <si>
    <t>G35-V6</t>
  </si>
  <si>
    <t>G37-V6</t>
  </si>
  <si>
    <t>I35-V6</t>
  </si>
  <si>
    <t>M37-V6</t>
  </si>
  <si>
    <t>M45-V8</t>
  </si>
  <si>
    <t>M56-V8</t>
  </si>
  <si>
    <t>Q45-V8</t>
  </si>
  <si>
    <t>S-TYPE-V8</t>
  </si>
  <si>
    <t>XF8-V8</t>
  </si>
  <si>
    <t>XJ8-V8</t>
  </si>
  <si>
    <t>XK8-V8</t>
  </si>
  <si>
    <t>AMANTI-V6</t>
  </si>
  <si>
    <t>ES-V6</t>
  </si>
  <si>
    <t>GS-I6/V8</t>
  </si>
  <si>
    <t>GS-V6</t>
  </si>
  <si>
    <t>GS-V8</t>
  </si>
  <si>
    <t>IS-V8</t>
  </si>
  <si>
    <t>LS-V8</t>
  </si>
  <si>
    <t>SC-I6/V8</t>
  </si>
  <si>
    <t>SC-V8</t>
  </si>
  <si>
    <t>CONTINENTAL-V8</t>
  </si>
  <si>
    <t>MKS-V6</t>
  </si>
  <si>
    <t>MKZ-V6</t>
  </si>
  <si>
    <t>MKT-V6</t>
  </si>
  <si>
    <t>MARK VIII-V8</t>
  </si>
  <si>
    <t>TOWN CAR-V8</t>
  </si>
  <si>
    <t>CL CLASS</t>
  </si>
  <si>
    <t>CLK CLASS</t>
  </si>
  <si>
    <t>E CLASS</t>
  </si>
  <si>
    <t>S CLASS</t>
  </si>
  <si>
    <t>SL CLASS</t>
  </si>
  <si>
    <t>GRAND MARQUIS-V8</t>
  </si>
  <si>
    <t>DIAMANTE-V6</t>
  </si>
  <si>
    <t>GALANT-V6</t>
  </si>
  <si>
    <t>350Z-V6</t>
  </si>
  <si>
    <t>ALTIMA-V6</t>
  </si>
  <si>
    <t>GT-R-V6-AWD</t>
  </si>
  <si>
    <t>MAXIMA-V6</t>
  </si>
  <si>
    <t>XTERRA-V6</t>
  </si>
  <si>
    <t>ALER0-V6</t>
  </si>
  <si>
    <t>AURORA-V8</t>
  </si>
  <si>
    <t>ACHIEVA-V6</t>
  </si>
  <si>
    <t>CUTLASS-V6</t>
  </si>
  <si>
    <t>EIGHTY EIGHT-V6</t>
  </si>
  <si>
    <t>INTRIGUE-V6</t>
  </si>
  <si>
    <t>LSS-V6</t>
  </si>
  <si>
    <t>REGENCY-V6</t>
  </si>
  <si>
    <t>BONNEVILLE-V6/V8</t>
  </si>
  <si>
    <t>FIREBIRD-V8</t>
  </si>
  <si>
    <t>G6-V6</t>
  </si>
  <si>
    <t>GRAND AM-V6</t>
  </si>
  <si>
    <t>GRAND PRIX-V8</t>
  </si>
  <si>
    <t>GTO-V8</t>
  </si>
  <si>
    <t>911-6 CYL.</t>
  </si>
  <si>
    <t>996 911-6 CYL</t>
  </si>
  <si>
    <t>997 911-6 CYL</t>
  </si>
  <si>
    <t>CAYMAN-6</t>
  </si>
  <si>
    <t>AVALON-V6</t>
  </si>
  <si>
    <t>CAMRY SOLARA-V6</t>
  </si>
  <si>
    <t>PHAETON-4 MOTION V8</t>
  </si>
  <si>
    <t>XC70</t>
  </si>
  <si>
    <t>PRECIOS ESTIMADOS APLICABLES A VEHICULOS EN CUYO AÑO-MODELO NO SE ESTABLECE DICHO PRECIO, ASI COMO PARA OTROS MODELOS Y MARCAS DE VEHICULOS NO LISTADOS EN EL INCISO</t>
  </si>
  <si>
    <t>B) CAMIONETAS</t>
  </si>
  <si>
    <t>RDX-4 CYL. TURBO-AWD</t>
  </si>
  <si>
    <t>Q5-4 CYL.</t>
  </si>
  <si>
    <t>Q7-V6</t>
  </si>
  <si>
    <t>RAINIER-I6</t>
  </si>
  <si>
    <t>X3-I6</t>
  </si>
  <si>
    <t>X5-I6/V6</t>
  </si>
  <si>
    <t>X6-I6/V8-AWD</t>
  </si>
  <si>
    <t>EQUINOX-4 CYL.</t>
  </si>
  <si>
    <t>EQUINOX-V6</t>
  </si>
  <si>
    <t>TRACKER-4 CYL.</t>
  </si>
  <si>
    <t>TRACKER-V6</t>
  </si>
  <si>
    <t>V0YAGER-4 CYL.</t>
  </si>
  <si>
    <t>CALIBER</t>
  </si>
  <si>
    <t>GMC</t>
  </si>
  <si>
    <t>TERRAIN-4 CYL.</t>
  </si>
  <si>
    <t>ESCAPE-4 CYL.</t>
  </si>
  <si>
    <t>ESCAPE-V6</t>
  </si>
  <si>
    <t>FREESTYLE-V6</t>
  </si>
  <si>
    <t>WINDSTAR-V6</t>
  </si>
  <si>
    <t>CR-V-4 CYL.</t>
  </si>
  <si>
    <t>ELEMENT-4 CYL.</t>
  </si>
  <si>
    <t>SANTA FE-4 CYL</t>
  </si>
  <si>
    <t>TUCSON-4 CYL</t>
  </si>
  <si>
    <t>TUCSON-V6</t>
  </si>
  <si>
    <t>ISUZU</t>
  </si>
  <si>
    <t>AMIGO-4 CYL.</t>
  </si>
  <si>
    <t>OASIS-4 CYL.</t>
  </si>
  <si>
    <t>RODEO-4 CYL</t>
  </si>
  <si>
    <t>RODEO SPORT-4 CYL.</t>
  </si>
  <si>
    <t>JEEP</t>
  </si>
  <si>
    <t>COMPASS-4 CYL.</t>
  </si>
  <si>
    <t>LIBERTY-4 CYL</t>
  </si>
  <si>
    <t>LIBERTY-V6</t>
  </si>
  <si>
    <t>PATRIOT-4 CYL.</t>
  </si>
  <si>
    <t>WRANGLER-4 CYL</t>
  </si>
  <si>
    <t>Kia</t>
  </si>
  <si>
    <t>SPORTAGE-4 CYL</t>
  </si>
  <si>
    <t>SORENTO-4 CYL.</t>
  </si>
  <si>
    <t>SOUL-4 CYL.</t>
  </si>
  <si>
    <t>LAND ROVER</t>
  </si>
  <si>
    <t>FREELANDER-V6</t>
  </si>
  <si>
    <t>RX300-V6</t>
  </si>
  <si>
    <t>CX-7-4 CYL.</t>
  </si>
  <si>
    <t>MAZDA5-4 CYL.</t>
  </si>
  <si>
    <t>MPV-V6</t>
  </si>
  <si>
    <t>TRIBUTE-4 CYL</t>
  </si>
  <si>
    <t>TRIBUTE-V6</t>
  </si>
  <si>
    <t>GL-CLASS</t>
  </si>
  <si>
    <t>R CLASS</t>
  </si>
  <si>
    <t>MARINER-4 CYL</t>
  </si>
  <si>
    <t>MARINER-V6</t>
  </si>
  <si>
    <t>VILLAGER-V6</t>
  </si>
  <si>
    <t>MONTERO SPORT-V6</t>
  </si>
  <si>
    <t>MONTERO-V6</t>
  </si>
  <si>
    <t>OUTLANDER-4 CYL.</t>
  </si>
  <si>
    <t>OUTLANDER-I4</t>
  </si>
  <si>
    <t>OUTLANDER-V6-4WD</t>
  </si>
  <si>
    <t>JUKE-4 CYL.</t>
  </si>
  <si>
    <t>ROGUE-4 CYL.</t>
  </si>
  <si>
    <t>QUEST-V6</t>
  </si>
  <si>
    <t>XTERRA-4 CYL</t>
  </si>
  <si>
    <t>VOYAGER-4 CYL</t>
  </si>
  <si>
    <t>VUE-4 CYL</t>
  </si>
  <si>
    <t>XB</t>
  </si>
  <si>
    <t>GRAND VITARA HARD TOP-4 CYL.-4WD</t>
  </si>
  <si>
    <t>GRAND VITARA HARD TOP-V6</t>
  </si>
  <si>
    <t>SIDEKICK-4 CYL</t>
  </si>
  <si>
    <t>VITARA-4 CYL.</t>
  </si>
  <si>
    <t>VITARA HARD TOP-V6</t>
  </si>
  <si>
    <t>XL-7 HARD TOP-V6</t>
  </si>
  <si>
    <t>X-90-4 CYL.</t>
  </si>
  <si>
    <t>4RUNNER 4 CYL</t>
  </si>
  <si>
    <t>HIGHLANDER-4 CYL.</t>
  </si>
  <si>
    <t>HIGHLANDER-V6</t>
  </si>
  <si>
    <t>RAV4-4 CYL.</t>
  </si>
  <si>
    <t>SIENNA-4 CYL</t>
  </si>
  <si>
    <t>SIENNA-V6</t>
  </si>
  <si>
    <t>EUROVAN-V6</t>
  </si>
  <si>
    <t>TIGUAN-4 CYL.</t>
  </si>
  <si>
    <t>XC90-5 CYL /I6</t>
  </si>
  <si>
    <t>B) DE ESTA FRACCION ARANCELARIA</t>
  </si>
  <si>
    <t>MDX-V6</t>
  </si>
  <si>
    <t>ZDX-V6</t>
  </si>
  <si>
    <t>Q5-V6-AWD</t>
  </si>
  <si>
    <t>X5-I6/V8</t>
  </si>
  <si>
    <t>X5-V8</t>
  </si>
  <si>
    <t>X6-I6/V8</t>
  </si>
  <si>
    <t>ENCLAVE-V6</t>
  </si>
  <si>
    <t>RAINIER-I6 V8</t>
  </si>
  <si>
    <t>RENDEZVOUS-V6</t>
  </si>
  <si>
    <t>TERRAZA V6</t>
  </si>
  <si>
    <t>ESCALADE-V8</t>
  </si>
  <si>
    <t>ESCALADE ESV</t>
  </si>
  <si>
    <t>ESCALADE EXT</t>
  </si>
  <si>
    <t>SRX-V6/V8</t>
  </si>
  <si>
    <t>ASTRO-1/2 TON-V6</t>
  </si>
  <si>
    <t>BLAZER-1/2 TON-V6 /TON-16</t>
  </si>
  <si>
    <t>G1500-1/2 TON-V8</t>
  </si>
  <si>
    <t>G2500-3/4 TON-V8</t>
  </si>
  <si>
    <t>G3500-1 TON-V8</t>
  </si>
  <si>
    <t>G SERIES VAN-½-1 TON-V8</t>
  </si>
  <si>
    <t>NEW TAHOE-1/2 TON-V8</t>
  </si>
  <si>
    <t>SUBURBAN-1/2-3/4 TON-V8</t>
  </si>
  <si>
    <t>TAHOE-1/2 TON-V8</t>
  </si>
  <si>
    <t>TRAILBLAZER EXTENDED-1/2 TON-16 V6/V8</t>
  </si>
  <si>
    <t>TRAILBLAZER-1/2 TON-L6 V6/V8</t>
  </si>
  <si>
    <t>TRAVERSE-V6</t>
  </si>
  <si>
    <t>UPLANDER-V6</t>
  </si>
  <si>
    <t>VENTURE-V6</t>
  </si>
  <si>
    <t>PACIFICA-V6</t>
  </si>
  <si>
    <t>TOWN &amp; C0UNTRY-V6</t>
  </si>
  <si>
    <t>V0YAGER-V6</t>
  </si>
  <si>
    <t>CARAVAN-V6</t>
  </si>
  <si>
    <t>DURANGO-1/2 TON-V6/V8</t>
  </si>
  <si>
    <t>GRAND CARAVAN</t>
  </si>
  <si>
    <t>JOURNEY-V6</t>
  </si>
  <si>
    <t>NITRO-V6</t>
  </si>
  <si>
    <t>RAM VAN 1500-1/2 TON-V6/V8</t>
  </si>
  <si>
    <t>RAM VAN 2500-3/4 TON-V6/V8</t>
  </si>
  <si>
    <t>RAM VAN 3500-1 TON-V8</t>
  </si>
  <si>
    <t>E 150 VAN 1/2 TON-V6/V8</t>
  </si>
  <si>
    <t>E 250 VAN 1/2 TON-V6/V8/V10</t>
  </si>
  <si>
    <t>E 350 VAN-1 TON-V8/V10</t>
  </si>
  <si>
    <t>E-150 SERIES</t>
  </si>
  <si>
    <t>E-250 SERIES</t>
  </si>
  <si>
    <t>E-350 SERIES</t>
  </si>
  <si>
    <t>ECONOLINE E150-1/2TON-V6/V8</t>
  </si>
  <si>
    <t>ECONOLINE E250-3/4 TON-V6/V8</t>
  </si>
  <si>
    <t>ECONOLINE E350-1 TON-V8</t>
  </si>
  <si>
    <t>EDGE-V6</t>
  </si>
  <si>
    <t>EXCURSION-3/4 TON-V8/V10</t>
  </si>
  <si>
    <t>EXPEDITION-1/2 TON-V8</t>
  </si>
  <si>
    <t>EXPEDITION EL</t>
  </si>
  <si>
    <t>EXPLORER-1/2 TON-V6/V8</t>
  </si>
  <si>
    <t>FLEX-V6</t>
  </si>
  <si>
    <t>FREESTAR-V6</t>
  </si>
  <si>
    <t>GENERAL MOTORS</t>
  </si>
  <si>
    <t>ACADIA-V6</t>
  </si>
  <si>
    <t>DENALI-½ TON-V8-AWD</t>
  </si>
  <si>
    <t>ENVOY-1/2 TON-L6 V6/V8</t>
  </si>
  <si>
    <t>ENVOY XL-1/2 TON-I6 V6/V8</t>
  </si>
  <si>
    <t>ENVOY XUV-1/2 TON-I6 V6/V8</t>
  </si>
  <si>
    <t>G1500-1/2 TON-V6/V8</t>
  </si>
  <si>
    <t>G2500-3/4 TON-V6/V8</t>
  </si>
  <si>
    <t>G3500-1 TON-V6/V8</t>
  </si>
  <si>
    <t>G 1500 SERIES VAN</t>
  </si>
  <si>
    <t>G 2500 SERIES VAN</t>
  </si>
  <si>
    <t>G 3500 SERIES VAN</t>
  </si>
  <si>
    <t>JIMMY-1/2 TON-V6</t>
  </si>
  <si>
    <t>SAFARI-1/2 TON-V6</t>
  </si>
  <si>
    <t>YUKON</t>
  </si>
  <si>
    <t>YUKON-1/2 TON-V8</t>
  </si>
  <si>
    <t>YUKON DENALI</t>
  </si>
  <si>
    <t>YUKON DENALI-1/2 TON-V8</t>
  </si>
  <si>
    <t>YUKON XL-1/2-3/4 TON-V8</t>
  </si>
  <si>
    <t>ODYSSEY-V6</t>
  </si>
  <si>
    <t>PASSP0RT-V6</t>
  </si>
  <si>
    <t>PILOT-V6</t>
  </si>
  <si>
    <t>RIDGELINE-V6-4WD</t>
  </si>
  <si>
    <t>HUMMER</t>
  </si>
  <si>
    <t>H2-V8</t>
  </si>
  <si>
    <t>SANTA FE-V6</t>
  </si>
  <si>
    <t>VERACRUZ-V6</t>
  </si>
  <si>
    <t>EX35-V6</t>
  </si>
  <si>
    <t>FX 35</t>
  </si>
  <si>
    <t>FX 50-V6/V8-AWD</t>
  </si>
  <si>
    <t>FX-V6/V8</t>
  </si>
  <si>
    <t>QX4-V6</t>
  </si>
  <si>
    <t>QX56-V8</t>
  </si>
  <si>
    <t>ASCENDER-I6</t>
  </si>
  <si>
    <t>ASCENDER-I6-V8</t>
  </si>
  <si>
    <t>AMIGO-V6</t>
  </si>
  <si>
    <t>AXIOM-V6</t>
  </si>
  <si>
    <t>RODEO V6</t>
  </si>
  <si>
    <t>RODEO SPORT-V6</t>
  </si>
  <si>
    <t>TROOPER-V6</t>
  </si>
  <si>
    <t>VEHICROOSS-V6</t>
  </si>
  <si>
    <t>CHEROKEE-6 CYL.</t>
  </si>
  <si>
    <t>GRAND CHER0KEE-6 CYL.</t>
  </si>
  <si>
    <t>GRAND CHER0KEE-V8</t>
  </si>
  <si>
    <t>WRANGLER-6 CYL.</t>
  </si>
  <si>
    <t>SEDONA-V6</t>
  </si>
  <si>
    <t>SORENTO-V6</t>
  </si>
  <si>
    <t>DISCOVERY-V8</t>
  </si>
  <si>
    <t>LR2-I6-AWD</t>
  </si>
  <si>
    <t>LR3-V6</t>
  </si>
  <si>
    <t>LR3-V8</t>
  </si>
  <si>
    <t>LR4-V8</t>
  </si>
  <si>
    <t>RANGE ROVER-V8</t>
  </si>
  <si>
    <t>GX460-V8</t>
  </si>
  <si>
    <t>GX470-V8</t>
  </si>
  <si>
    <t>LX470-V8</t>
  </si>
  <si>
    <t>LX570-V8-4WD</t>
  </si>
  <si>
    <t>RX 350</t>
  </si>
  <si>
    <t>RX450H-V6</t>
  </si>
  <si>
    <t>AVIATOR-V8</t>
  </si>
  <si>
    <t>MKX-V6</t>
  </si>
  <si>
    <t>NAVIGATOR-V8</t>
  </si>
  <si>
    <t>NAVIGATOR L</t>
  </si>
  <si>
    <t>CX-9-V6</t>
  </si>
  <si>
    <t>GL CLASS-V6/V8-4WD</t>
  </si>
  <si>
    <t>M CLASS-V6</t>
  </si>
  <si>
    <t>M CLASS-V6/V8</t>
  </si>
  <si>
    <t>M CLASS-V8</t>
  </si>
  <si>
    <t>R CLASS-V6-4WD</t>
  </si>
  <si>
    <t>MONTEREY-V6</t>
  </si>
  <si>
    <t>MOUNTAINEER-V6/V8</t>
  </si>
  <si>
    <t>ENDEAVOR-V6</t>
  </si>
  <si>
    <t>ARMADA-V8-4WD</t>
  </si>
  <si>
    <t>MURANO-V6</t>
  </si>
  <si>
    <t>PATHFINDER-V6</t>
  </si>
  <si>
    <t>PATHFINDER ARMADA-V8</t>
  </si>
  <si>
    <t>UTILITY 4D XE</t>
  </si>
  <si>
    <t>BRAVADA-1/2 TON-V6</t>
  </si>
  <si>
    <t>BRAVADA-1/2 TON-I6</t>
  </si>
  <si>
    <t>SILHOUETTE-V6</t>
  </si>
  <si>
    <t>VOYAGER-V6</t>
  </si>
  <si>
    <t>AZTEK-V6</t>
  </si>
  <si>
    <t>MONTANA-SV6</t>
  </si>
  <si>
    <t>MONTANA-V6</t>
  </si>
  <si>
    <t>TRANSSPORT-V6</t>
  </si>
  <si>
    <t>CAYENNE-V6/V8</t>
  </si>
  <si>
    <t>RELAY-V6</t>
  </si>
  <si>
    <t>VUE-V6</t>
  </si>
  <si>
    <t>TRIBECEA-6 CYL.-AWD</t>
  </si>
  <si>
    <t>4RUNNER-V6</t>
  </si>
  <si>
    <t>4RUNNER-V8</t>
  </si>
  <si>
    <t>F J CRUISER-V6-4WD</t>
  </si>
  <si>
    <t>LAND CRUISER-V8</t>
  </si>
  <si>
    <t>RAV4-V6</t>
  </si>
  <si>
    <t>SEQUOIA-V8</t>
  </si>
  <si>
    <t>TOUAREG-V6/V8/V10</t>
  </si>
  <si>
    <t>ROUTAN-V6</t>
  </si>
  <si>
    <t xml:space="preserve">VOLVO </t>
  </si>
  <si>
    <t>XC60-6 CYL.</t>
  </si>
  <si>
    <t>XC70-6 CYL.</t>
  </si>
  <si>
    <t>XC90-5 CYL.</t>
  </si>
  <si>
    <t>XC90-5 CYL./I6 TURBO</t>
  </si>
  <si>
    <t>C) VEHICULOS DE LUJO / DEPORTIVOS</t>
  </si>
  <si>
    <t>ASTON MARTIN</t>
  </si>
  <si>
    <t>DB7</t>
  </si>
  <si>
    <t>DB7 GTA</t>
  </si>
  <si>
    <t>DB7 VANTAGE</t>
  </si>
  <si>
    <t>DB7 VANTAGE VOLANTE</t>
  </si>
  <si>
    <t>DB7 VOLANTE</t>
  </si>
  <si>
    <t>DB9</t>
  </si>
  <si>
    <t>DBS</t>
  </si>
  <si>
    <t>RAPIDE</t>
  </si>
  <si>
    <t>V12 VANTAGE</t>
  </si>
  <si>
    <t>V12 VANQUISH</t>
  </si>
  <si>
    <t>V8 VANTAGE</t>
  </si>
  <si>
    <t>DB AR1</t>
  </si>
  <si>
    <t>R8</t>
  </si>
  <si>
    <t>BENTLEY</t>
  </si>
  <si>
    <t>ARNAGE</t>
  </si>
  <si>
    <t>ARNAGE R</t>
  </si>
  <si>
    <t>ARNAGE RED LABEL</t>
  </si>
  <si>
    <t>ARNAGE RL</t>
  </si>
  <si>
    <t>ARNAGE T</t>
  </si>
  <si>
    <t>AZURE</t>
  </si>
  <si>
    <t>BROOKLANDS R</t>
  </si>
  <si>
    <t>CONTINENTAL</t>
  </si>
  <si>
    <t>CONTINENTAL GT</t>
  </si>
  <si>
    <t>CONTINENTAL GT SPEED</t>
  </si>
  <si>
    <t>CONTINENTAL R</t>
  </si>
  <si>
    <t>CONTINENTAL SUPERSPORTS</t>
  </si>
  <si>
    <t>CONTINENTAL T</t>
  </si>
  <si>
    <t>MULSANNE</t>
  </si>
  <si>
    <t>TURBO RT</t>
  </si>
  <si>
    <t>FERRARI</t>
  </si>
  <si>
    <t>360F</t>
  </si>
  <si>
    <t>575M</t>
  </si>
  <si>
    <t>F355</t>
  </si>
  <si>
    <t>F-430</t>
  </si>
  <si>
    <t>ENZO</t>
  </si>
  <si>
    <t>SUPERAMERICA</t>
  </si>
  <si>
    <t>LAMBORGHINI</t>
  </si>
  <si>
    <t>DIABLO</t>
  </si>
  <si>
    <t>GALLARDO</t>
  </si>
  <si>
    <t>GALLARDO LP550-2</t>
  </si>
  <si>
    <t>GALLARDO LP560-4</t>
  </si>
  <si>
    <t>GALLARDO LP570-4</t>
  </si>
  <si>
    <t>MURCIELAGO</t>
  </si>
  <si>
    <t>MURCIELAGO LP640</t>
  </si>
  <si>
    <t>MURCIELAGO LP650-4</t>
  </si>
  <si>
    <t>MURCIELAGO LP670-4</t>
  </si>
  <si>
    <t>MAYBACH 57</t>
  </si>
  <si>
    <t>MAYBACH 57S</t>
  </si>
  <si>
    <t>MAYBACH 62</t>
  </si>
  <si>
    <t>MAYBACH 62S</t>
  </si>
  <si>
    <t>MASERATI</t>
  </si>
  <si>
    <t>CAMBIOCORSA</t>
  </si>
  <si>
    <t>QUATTROPORTE</t>
  </si>
  <si>
    <t>MORGAN</t>
  </si>
  <si>
    <t>AERO 8</t>
  </si>
  <si>
    <t>MOSLER AUTOMOTIVE</t>
  </si>
  <si>
    <t>MOSLER</t>
  </si>
  <si>
    <t>PANOZ</t>
  </si>
  <si>
    <t>ESPERANTE</t>
  </si>
  <si>
    <t>CAYENNE</t>
  </si>
  <si>
    <t>PANAMERA-V6</t>
  </si>
  <si>
    <t>PANAMERA-V8</t>
  </si>
  <si>
    <t>ROLLS ROYCE</t>
  </si>
  <si>
    <t>CORNICHE</t>
  </si>
  <si>
    <t>GHOST</t>
  </si>
  <si>
    <t>PARK WARD</t>
  </si>
  <si>
    <t>PHANTOM</t>
  </si>
  <si>
    <t>SILVER SPUR</t>
  </si>
  <si>
    <t>SILVER SERAPH</t>
  </si>
  <si>
    <t>ZIMMER</t>
  </si>
  <si>
    <t>GOLDEN SPIRIT</t>
  </si>
  <si>
    <t>C) DE ESTA FRACCION ARANCELARIA</t>
  </si>
  <si>
    <t>VEHÍCULOS AUTOMÓVILES PARA EL TRANSPORTE DE MERCANCÍAS. LOS DEMÁS, CON MOTOR DE ÉMBOLO (PISTÓN) DE ENCENDIDO  POR COMPRESIÓN (DIESEL O SEMI-DIESEL). DE PESO TOTAL CON CARGA MÁXIMA INFERIOR O IGUAL A 5T.</t>
  </si>
  <si>
    <t>8704.21.04</t>
  </si>
  <si>
    <t>10 AÑOS O MAS</t>
  </si>
  <si>
    <t>CLASSIC / SILVERADO 2500/C3500 CHASSIS &amp; CAB</t>
  </si>
  <si>
    <t>C2500/C3500 CHASSIS &amp; CAB</t>
  </si>
  <si>
    <t>DODGE RAM CHASSIS &amp;CAB</t>
  </si>
  <si>
    <t>SPRINTER CARGO VAN</t>
  </si>
  <si>
    <t>SPRINTER CARGO VAN FREIGHTLINER</t>
  </si>
  <si>
    <t>SIERRA 2500/3500 CHASSIS &amp; CAB</t>
  </si>
  <si>
    <t>VEHÍCULOS AUTOMÓVILES PARA EL TRANSPORTE DE MERCANCÍAS. LOS DEMÁS, CON MOTOR DE ÉMBOLO (PISTÓN) DE ENCENDIDO  POR COMPRESIÓN (DIESEL O SEMI-DIESEL). DE PESO TOTAL CON CARGA MÁXIMA SUPERIOR A 5T PERO INFERIOR O IGUAL A 20T.</t>
  </si>
  <si>
    <t>8704.22.07</t>
  </si>
  <si>
    <t>BERING</t>
  </si>
  <si>
    <t>LD/MD-SERIES MEDIUM DUTY CABOVER</t>
  </si>
  <si>
    <t>LD/MD-SERIES</t>
  </si>
  <si>
    <t>MEDIUM DUTY C-SERIES</t>
  </si>
  <si>
    <t>MEDIUM DUTY KODIAK SERIES</t>
  </si>
  <si>
    <t>MEDIUM DUTY T-SERIES CABOVER</t>
  </si>
  <si>
    <t>MEDIUM DUTY W-SERIES CABOVER</t>
  </si>
  <si>
    <t>SILVERADO C3500 CHASSIS &amp; CAB</t>
  </si>
  <si>
    <t>RAM  CHASIS &amp; CAB</t>
  </si>
  <si>
    <t>F-SERIES SUPER DUTY CONVENTIONAL</t>
  </si>
  <si>
    <t>FL5O, 60, 70 MEDIUM DUTY CONVENTIONAL</t>
  </si>
  <si>
    <t>FL80, M106 MEDIUM DUTY CONVENTIONAL</t>
  </si>
  <si>
    <t>FREIGHTLINER BUSINESS CLASS M2 106 MED. DUTY CONVENTIONAL</t>
  </si>
  <si>
    <t>CARGO MEDIUM DUTY CABOVER</t>
  </si>
  <si>
    <t>MEDIUM DUTY CABOVER</t>
  </si>
  <si>
    <t>GMC MEDIUM DUTY C-SERIES</t>
  </si>
  <si>
    <t>GMC MEDIUM DUTY T-SERIES CABOVER</t>
  </si>
  <si>
    <t>SIERRA 3500 CHASSIS &amp; CAB</t>
  </si>
  <si>
    <t>HINO</t>
  </si>
  <si>
    <t>MEDIUM DUTY CONVENTIONAL</t>
  </si>
  <si>
    <t>DURASTAR MEDIUM DUTY CONVENTIONAL</t>
  </si>
  <si>
    <t>ISUZU MEDIUM DUTY CABOVER</t>
  </si>
  <si>
    <t>KEN MEDIUM DUTY CONVENTIONAL</t>
  </si>
  <si>
    <t>MIDLINER MEDIUM DUTY CABOVER</t>
  </si>
  <si>
    <t>MIDLINER MEDIUM CONVENTIONAL</t>
  </si>
  <si>
    <t>FREEDOM MEDIUM CABOVER</t>
  </si>
  <si>
    <t>MITSUBISHI-FUSO</t>
  </si>
  <si>
    <t>MIT MEDIUM DUTY CABOVER</t>
  </si>
  <si>
    <t>PET MEDIUM DUTY CONVENTIONAL</t>
  </si>
  <si>
    <t>ACTERRA 5500-7500 MED. DUTY CONVENTIONAL</t>
  </si>
  <si>
    <t>ACTERRA MEDIUM DUTY CONVENTIONAL</t>
  </si>
  <si>
    <t>ACTERRA 8500 MEDIUM DUTY CONVENTIONAL</t>
  </si>
  <si>
    <t>UD</t>
  </si>
  <si>
    <t>UD MEDIUM DUTY CABOVER</t>
  </si>
  <si>
    <t>VEHÍCULOS AUTOMÓVILES PARA EL TRANSPORTE DE MERCANCÍAS. LOS DEMÁS, CON MOTOR DE ÉMBOLO (PISTÓN) DE ENCENDIDO  POR COMPRESIÓN (DIESEL O SEMI-DIESEL). DE PESO TOTAL CON CARGA MÁXIMA SUPERIOR A 20T.</t>
  </si>
  <si>
    <t>8704.23.02</t>
  </si>
  <si>
    <t>VEHÍCULOS AUTOMÓVILES PARA EL TRANSPORTE DE MERCANCÍAS. LOS DEMÁS, CON MOTOR DE ÉMBOLO (PISTÓN), DE ENCENDIDO POR CHISPA: DE PESO TOTAL CON CARGA MÁXIMA INFERIOR O IGUAL A 5T.</t>
  </si>
  <si>
    <t>8704.31.05</t>
  </si>
  <si>
    <t>AVALANCHE-1/2-3/4 TON-V8</t>
  </si>
  <si>
    <t>C1500 PICKUP-1/2 TON-V8</t>
  </si>
  <si>
    <t>CLASSIC C1500 PICKUP-1/2 TON-V8</t>
  </si>
  <si>
    <t>C2500 PICKUP-3/4 TON-V8</t>
  </si>
  <si>
    <t>CLASSIC C2500 PICKUP-3/4 TON-V8</t>
  </si>
  <si>
    <t>C3500 PICKUP-1 TON-V8</t>
  </si>
  <si>
    <t>COLORADO PICKUP-1/2 TON</t>
  </si>
  <si>
    <t>COLORADO PICKUP-½ TON-5 CYL.</t>
  </si>
  <si>
    <t>S10 PICKUP 1/2 TON-V6</t>
  </si>
  <si>
    <t>SILVERAD0 1500 PICKUP-1/2 TON-V8</t>
  </si>
  <si>
    <t>SILVERADO 1500 HD PICKUP-1/2TON-V8</t>
  </si>
  <si>
    <t>SILVERADO 2500 HD PICKUP-3/4 TON-V8</t>
  </si>
  <si>
    <t>SILVERADO 2500 LD PICKUP-3/4 TON-V8</t>
  </si>
  <si>
    <t>SILVERADO   3500   PICKUP-1   TON-V8-DUAL   REAR WHEELS</t>
  </si>
  <si>
    <t>SSR-V8</t>
  </si>
  <si>
    <t>DAKOTA PICKUP-1/2 TON-V6</t>
  </si>
  <si>
    <t>RAM 1500 PICKUP-1/2 TON-V8</t>
  </si>
  <si>
    <t>RAM 2500 PICKUP-3/4 TON-V8</t>
  </si>
  <si>
    <t>RAM 3500 PICKUP-1 TON-V8-DUAL REAR WHEELS</t>
  </si>
  <si>
    <t>EXPLORER SPORT TRAC-1/2 TON-V6</t>
  </si>
  <si>
    <t>F150 HERITAGE PICKUP-1/2 TON-V8</t>
  </si>
  <si>
    <t>F150 PICKUP-1/2 TON-V8</t>
  </si>
  <si>
    <t>F150 SUPERCREW PICKUP-1/2 TON-V8</t>
  </si>
  <si>
    <t>F250 PICKUP-3/4 TON-V8</t>
  </si>
  <si>
    <t>F250 SUPER DUTY PICKUP-3/4 TON-V8</t>
  </si>
  <si>
    <t>F350 SUPER DUTY PICKUP-1 TON-V8</t>
  </si>
  <si>
    <t>RANGER PICKUP-1/2 TON-V6</t>
  </si>
  <si>
    <t>CANYON PICKUP-1/2 TON</t>
  </si>
  <si>
    <t>SIERRA 1500 PICKUP-1/2 TON-V8</t>
  </si>
  <si>
    <t xml:space="preserve"> </t>
  </si>
  <si>
    <t>SIERRA 1500 HD PICKUP-1/2 TON-V8</t>
  </si>
  <si>
    <t>NEW SIERRA 1500 PICKUP-1/2 TON-V8</t>
  </si>
  <si>
    <t>NEW SIERRA 2500 PICKUP-3/4 TON-V8</t>
  </si>
  <si>
    <t>SIERRA 2500 PICKUP-3/4 TON-V8</t>
  </si>
  <si>
    <t>SIERRA 2500 CREW CAB</t>
  </si>
  <si>
    <t>SIERRA 2500 HD PICKUP-3/4 TON-V8</t>
  </si>
  <si>
    <t>SIERRA 2500 LD PICKUP-3/4 TON-V8</t>
  </si>
  <si>
    <t>SIERRA 3500 PICKUP-1 TON-V8-DUAL REAR WHEELS</t>
  </si>
  <si>
    <t>SONOMA PICKUP-1/2 TON-V6</t>
  </si>
  <si>
    <t>HOMBRE PICKUP-4 CYL.</t>
  </si>
  <si>
    <t>BLACKW00D-V8</t>
  </si>
  <si>
    <t>B2300 PICKUP-4 CYL.</t>
  </si>
  <si>
    <t>B2500 PICKUP-4 CYL.</t>
  </si>
  <si>
    <t>B2300/2500 PICKUP-4 CYL.</t>
  </si>
  <si>
    <t>B3000 PICKUP-V6</t>
  </si>
  <si>
    <t>B4000 PICKUP-V6</t>
  </si>
  <si>
    <t>FRONTIER CREW CAB-V6</t>
  </si>
  <si>
    <t>FRONTIER PICKUP-4 CLY.</t>
  </si>
  <si>
    <t>FRONTIER PICKUP-V6</t>
  </si>
  <si>
    <t>TITAN PICKUP-V8</t>
  </si>
  <si>
    <t>TITAN PICKUP KING CAB-V8</t>
  </si>
  <si>
    <t>TITAN PIKUP CREW CAB-V8</t>
  </si>
  <si>
    <t>EQUATOR-4 CYL</t>
  </si>
  <si>
    <t>EQUATOR PICKUP-V6</t>
  </si>
  <si>
    <t>T100 PICKUP-V6</t>
  </si>
  <si>
    <t>TACOMA PICKUP-4CYL.</t>
  </si>
  <si>
    <t>TACOMA DOUBLE CAB-4 CYL.</t>
  </si>
  <si>
    <t>TACOMA PICKUP DOUBLE GAB-V6</t>
  </si>
  <si>
    <t>TACOMA-4 CYL.</t>
  </si>
  <si>
    <t>TACOMA PICKUP-V6</t>
  </si>
  <si>
    <t>TUNDRA PICKUP-V8</t>
  </si>
  <si>
    <t>TUNDRA PICKUP DOUBLE CAB-V8</t>
  </si>
  <si>
    <t>TUNDRA PICKUP CREWMAX-V8</t>
  </si>
  <si>
    <t>MEDIUM DUTY COMMERCIAL VANS</t>
  </si>
  <si>
    <t>SUPER DUTY CUBE VANS</t>
  </si>
  <si>
    <t>MEDIUM DUTY CUBE VANS</t>
  </si>
  <si>
    <t>VEHÍCULOS AUTOMÓVILES PARA EL TRANSPORTE DE MERCANCÍAS. LOS DEMÁS, CON MOTOR DE ÉMBOLO (PISTÓN), DE ENCENDIDO POR CHISPA: DE PESO TOTAL CON CARGA MÁXIMA SUPERIOR A 5T.</t>
  </si>
  <si>
    <t>8704.32.07</t>
  </si>
  <si>
    <t>GMC MEDIUM DUTY CABOVER</t>
  </si>
  <si>
    <t>FORD SUPER DUTY CUBE VANS</t>
  </si>
  <si>
    <t>TRANSIT CONNECT</t>
  </si>
  <si>
    <t>MEDIUM DUTY CABOVER ISUZU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</si>
</sst>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$&quot;* #,##0.00_-;\-&quot;$&quot;* #,##0.00_-;_-&quot;$&quot;* &quot;-&quot;??_-;_-@_-"/>
    <numFmt numFmtId="178" formatCode="_ * #,##0_ ;_ * \-#,##0_ ;_ * &quot;-&quot;_ ;_ @_ "/>
    <numFmt numFmtId="179" formatCode="&quot;$&quot;#,##0"/>
    <numFmt numFmtId="180" formatCode="&quot;$&quot;#,##0.0000"/>
    <numFmt numFmtId="181" formatCode="&quot;$&quot;#,##0.00"/>
    <numFmt numFmtId="182" formatCode="[$$-80A]#,##0"/>
    <numFmt numFmtId="183" formatCode="[$$-80A]#,##0.0000"/>
  </numFmts>
  <fonts count="38">
    <font>
      <sz val="11"/>
      <color theme="1"/>
      <name val="Calibri"/>
      <charset val="134"/>
      <scheme val="minor"/>
    </font>
    <font>
      <sz val="8"/>
      <color theme="1"/>
      <name val="Verdana"/>
      <charset val="134"/>
    </font>
    <font>
      <b/>
      <sz val="8"/>
      <color theme="1"/>
      <name val="Verdana"/>
      <charset val="134"/>
    </font>
    <font>
      <b/>
      <sz val="11"/>
      <color theme="1"/>
      <name val="Calibri"/>
      <charset val="134"/>
      <scheme val="minor"/>
    </font>
    <font>
      <sz val="11"/>
      <name val="Arial"/>
      <charset val="134"/>
    </font>
    <font>
      <b/>
      <sz val="22"/>
      <color indexed="10"/>
      <name val="Arial"/>
      <charset val="134"/>
    </font>
    <font>
      <b/>
      <sz val="16"/>
      <name val="Arial"/>
      <charset val="134"/>
    </font>
    <font>
      <b/>
      <sz val="22"/>
      <color indexed="51"/>
      <name val="Arial"/>
      <charset val="134"/>
    </font>
    <font>
      <b/>
      <sz val="14"/>
      <name val="Arial"/>
      <charset val="134"/>
    </font>
    <font>
      <b/>
      <sz val="22"/>
      <name val="Arial"/>
      <charset val="134"/>
    </font>
    <font>
      <b/>
      <sz val="18"/>
      <name val="Arial"/>
      <charset val="134"/>
    </font>
    <font>
      <b/>
      <sz val="11"/>
      <name val="Arial"/>
      <charset val="134"/>
    </font>
    <font>
      <b/>
      <i/>
      <sz val="20"/>
      <name val="Arial"/>
      <charset val="134"/>
    </font>
    <font>
      <b/>
      <sz val="14"/>
      <color indexed="51"/>
      <name val="Arial"/>
      <charset val="134"/>
    </font>
    <font>
      <b/>
      <sz val="22"/>
      <color theme="2"/>
      <name val="Arial"/>
      <charset val="134"/>
    </font>
    <font>
      <b/>
      <sz val="28"/>
      <color rgb="FFFF0000"/>
      <name val="Arial"/>
      <charset val="134"/>
    </font>
    <font>
      <b/>
      <sz val="16"/>
      <color theme="1"/>
      <name val="Arial"/>
      <charset val="134"/>
    </font>
    <font>
      <b/>
      <i/>
      <sz val="16"/>
      <color theme="1"/>
      <name val="Arial"/>
      <charset val="134"/>
    </font>
    <font>
      <b/>
      <sz val="2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3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6" borderId="38" applyNumberFormat="0" applyAlignment="0" applyProtection="0">
      <alignment vertical="center"/>
    </xf>
    <xf numFmtId="0" fontId="28" fillId="17" borderId="39" applyNumberFormat="0" applyAlignment="0" applyProtection="0">
      <alignment vertical="center"/>
    </xf>
    <xf numFmtId="0" fontId="29" fillId="17" borderId="38" applyNumberFormat="0" applyAlignment="0" applyProtection="0">
      <alignment vertical="center"/>
    </xf>
    <xf numFmtId="0" fontId="30" fillId="18" borderId="40" applyNumberFormat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</cellStyleXfs>
  <cellXfs count="9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3" fontId="1" fillId="2" borderId="6" xfId="0" applyNumberFormat="1" applyFont="1" applyFill="1" applyBorder="1" applyAlignment="1">
      <alignment vertical="top" wrapText="1"/>
    </xf>
    <xf numFmtId="3" fontId="1" fillId="0" borderId="6" xfId="0" applyNumberFormat="1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3" fontId="1" fillId="0" borderId="5" xfId="0" applyNumberFormat="1" applyFont="1" applyBorder="1" applyAlignment="1">
      <alignment vertical="top" wrapText="1"/>
    </xf>
    <xf numFmtId="3" fontId="1" fillId="2" borderId="5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4" borderId="4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6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9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5" borderId="10" xfId="0" applyFont="1" applyFill="1" applyBorder="1" applyAlignment="1">
      <alignment horizontal="center" vertical="top" wrapText="1"/>
    </xf>
    <xf numFmtId="0" fontId="0" fillId="5" borderId="2" xfId="0" applyFill="1" applyBorder="1" applyAlignment="1">
      <alignment vertical="top" wrapText="1"/>
    </xf>
    <xf numFmtId="3" fontId="0" fillId="2" borderId="2" xfId="0" applyNumberFormat="1" applyFill="1" applyBorder="1" applyAlignment="1">
      <alignment vertical="top" wrapText="1"/>
    </xf>
    <xf numFmtId="0" fontId="4" fillId="0" borderId="0" xfId="0" applyFo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0" fillId="0" borderId="14" xfId="0" applyBorder="1"/>
    <xf numFmtId="0" fontId="6" fillId="0" borderId="15" xfId="0" applyFont="1" applyBorder="1" applyAlignment="1">
      <alignment horizontal="right"/>
    </xf>
    <xf numFmtId="179" fontId="7" fillId="7" borderId="16" xfId="0" applyNumberFormat="1" applyFont="1" applyFill="1" applyBorder="1"/>
    <xf numFmtId="0" fontId="8" fillId="8" borderId="0" xfId="0" applyFont="1" applyFill="1"/>
    <xf numFmtId="0" fontId="0" fillId="0" borderId="17" xfId="0" applyBorder="1"/>
    <xf numFmtId="0" fontId="6" fillId="9" borderId="18" xfId="0" applyFont="1" applyFill="1" applyBorder="1" applyAlignment="1">
      <alignment horizontal="right" wrapText="1"/>
    </xf>
    <xf numFmtId="180" fontId="9" fillId="9" borderId="18" xfId="0" applyNumberFormat="1" applyFont="1" applyFill="1" applyBorder="1"/>
    <xf numFmtId="0" fontId="10" fillId="8" borderId="0" xfId="0" applyFont="1" applyFill="1"/>
    <xf numFmtId="179" fontId="7" fillId="7" borderId="19" xfId="0" applyNumberFormat="1" applyFont="1" applyFill="1" applyBorder="1"/>
    <xf numFmtId="0" fontId="11" fillId="8" borderId="0" xfId="0" applyFont="1" applyFill="1"/>
    <xf numFmtId="0" fontId="12" fillId="8" borderId="15" xfId="0" applyFont="1" applyFill="1" applyBorder="1" applyAlignment="1">
      <alignment horizontal="right"/>
    </xf>
    <xf numFmtId="181" fontId="7" fillId="7" borderId="4" xfId="0" applyNumberFormat="1" applyFont="1" applyFill="1" applyBorder="1"/>
    <xf numFmtId="0" fontId="12" fillId="0" borderId="15" xfId="0" applyFont="1" applyBorder="1" applyAlignment="1">
      <alignment horizontal="right"/>
    </xf>
    <xf numFmtId="0" fontId="6" fillId="4" borderId="0" xfId="0" applyFont="1" applyFill="1"/>
    <xf numFmtId="0" fontId="11" fillId="8" borderId="17" xfId="0" applyFont="1" applyFill="1" applyBorder="1"/>
    <xf numFmtId="0" fontId="9" fillId="8" borderId="0" xfId="0" applyFont="1" applyFill="1"/>
    <xf numFmtId="0" fontId="9" fillId="8" borderId="15" xfId="0" applyFont="1" applyFill="1" applyBorder="1" applyAlignment="1">
      <alignment horizontal="right"/>
    </xf>
    <xf numFmtId="181" fontId="8" fillId="6" borderId="0" xfId="0" applyNumberFormat="1" applyFont="1" applyFill="1"/>
    <xf numFmtId="0" fontId="8" fillId="8" borderId="15" xfId="0" applyFont="1" applyFill="1" applyBorder="1" applyAlignment="1">
      <alignment horizontal="right"/>
    </xf>
    <xf numFmtId="181" fontId="13" fillId="7" borderId="20" xfId="0" applyNumberFormat="1" applyFont="1" applyFill="1" applyBorder="1"/>
    <xf numFmtId="0" fontId="10" fillId="10" borderId="4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right"/>
    </xf>
    <xf numFmtId="181" fontId="14" fillId="11" borderId="18" xfId="0" applyNumberFormat="1" applyFont="1" applyFill="1" applyBorder="1"/>
    <xf numFmtId="0" fontId="4" fillId="0" borderId="22" xfId="0" applyFont="1" applyBorder="1"/>
    <xf numFmtId="0" fontId="4" fillId="0" borderId="23" xfId="0" applyFont="1" applyBorder="1"/>
    <xf numFmtId="0" fontId="0" fillId="0" borderId="23" xfId="0" applyBorder="1"/>
    <xf numFmtId="0" fontId="0" fillId="0" borderId="24" xfId="0" applyBorder="1"/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0" fontId="15" fillId="4" borderId="27" xfId="0" applyFont="1" applyFill="1" applyBorder="1" applyAlignment="1">
      <alignment horizontal="center"/>
    </xf>
    <xf numFmtId="9" fontId="16" fillId="4" borderId="28" xfId="0" applyNumberFormat="1" applyFont="1" applyFill="1" applyBorder="1" applyAlignment="1">
      <alignment horizontal="center"/>
    </xf>
    <xf numFmtId="182" fontId="16" fillId="12" borderId="18" xfId="0" applyNumberFormat="1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183" fontId="16" fillId="4" borderId="30" xfId="0" applyNumberFormat="1" applyFont="1" applyFill="1" applyBorder="1" applyAlignment="1">
      <alignment horizontal="center"/>
    </xf>
    <xf numFmtId="0" fontId="16" fillId="13" borderId="29" xfId="0" applyFont="1" applyFill="1" applyBorder="1" applyAlignment="1">
      <alignment horizontal="center"/>
    </xf>
    <xf numFmtId="182" fontId="16" fillId="13" borderId="21" xfId="0" applyNumberFormat="1" applyFont="1" applyFill="1" applyBorder="1" applyAlignment="1">
      <alignment horizontal="center"/>
    </xf>
    <xf numFmtId="1" fontId="17" fillId="13" borderId="21" xfId="0" applyNumberFormat="1" applyFont="1" applyFill="1" applyBorder="1" applyAlignment="1">
      <alignment horizontal="center"/>
    </xf>
    <xf numFmtId="0" fontId="16" fillId="14" borderId="29" xfId="0" applyFont="1" applyFill="1" applyBorder="1" applyAlignment="1">
      <alignment horizontal="center"/>
    </xf>
    <xf numFmtId="182" fontId="16" fillId="14" borderId="21" xfId="0" applyNumberFormat="1" applyFont="1" applyFill="1" applyBorder="1" applyAlignment="1">
      <alignment horizontal="center"/>
    </xf>
    <xf numFmtId="3" fontId="18" fillId="0" borderId="31" xfId="0" applyNumberFormat="1" applyFont="1" applyBorder="1" applyAlignment="1">
      <alignment horizontal="center" vertical="top" wrapText="1"/>
    </xf>
    <xf numFmtId="3" fontId="18" fillId="0" borderId="32" xfId="0" applyNumberFormat="1" applyFont="1" applyBorder="1" applyAlignment="1">
      <alignment horizontal="center" vertical="top" wrapText="1"/>
    </xf>
    <xf numFmtId="0" fontId="18" fillId="4" borderId="33" xfId="0" applyFont="1" applyFill="1" applyBorder="1" applyAlignment="1">
      <alignment horizontal="center" vertical="top" wrapText="1"/>
    </xf>
    <xf numFmtId="182" fontId="18" fillId="4" borderId="34" xfId="0" applyNumberFormat="1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/>
    </xf>
    <xf numFmtId="177" fontId="3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177" fontId="0" fillId="0" borderId="4" xfId="2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1:L14"/>
  <sheetViews>
    <sheetView zoomScale="130" zoomScaleNormal="130" topLeftCell="B4" workbookViewId="0">
      <selection activeCell="J8" sqref="J8"/>
    </sheetView>
  </sheetViews>
  <sheetFormatPr defaultColWidth="11" defaultRowHeight="14.4"/>
  <cols>
    <col min="7" max="7" width="5.13888888888889" customWidth="1"/>
    <col min="8" max="9" width="19.8518518518519" customWidth="1"/>
    <col min="10" max="10" width="19.712962962963" customWidth="1"/>
    <col min="11" max="11" width="13.287037037037" customWidth="1"/>
    <col min="12" max="12" width="20" customWidth="1"/>
  </cols>
  <sheetData>
    <row r="11" spans="7:12">
      <c r="G11" s="95" t="s">
        <v>0</v>
      </c>
      <c r="H11" s="96" t="s">
        <v>1</v>
      </c>
      <c r="I11" s="96" t="s">
        <v>2</v>
      </c>
      <c r="J11" s="96" t="s">
        <v>3</v>
      </c>
      <c r="K11" s="96" t="s">
        <v>4</v>
      </c>
      <c r="L11" s="96" t="s">
        <v>5</v>
      </c>
    </row>
    <row r="12" spans="7:12">
      <c r="G12" s="97">
        <v>2021</v>
      </c>
      <c r="H12" s="98">
        <v>72000</v>
      </c>
      <c r="I12" s="98">
        <v>77000</v>
      </c>
      <c r="J12" s="98">
        <v>79000</v>
      </c>
      <c r="K12" s="98">
        <v>82000</v>
      </c>
      <c r="L12" s="98">
        <v>83000</v>
      </c>
    </row>
    <row r="13" spans="7:12">
      <c r="G13" s="97">
        <v>2020</v>
      </c>
      <c r="H13" s="98">
        <v>71800</v>
      </c>
      <c r="I13" s="98">
        <v>76000</v>
      </c>
      <c r="J13" s="98">
        <v>77000</v>
      </c>
      <c r="K13" s="98">
        <v>80000</v>
      </c>
      <c r="L13" s="98">
        <v>81000</v>
      </c>
    </row>
    <row r="14" spans="7:12">
      <c r="G14" s="97">
        <v>2019</v>
      </c>
      <c r="H14" s="98">
        <v>70700</v>
      </c>
      <c r="I14" s="98">
        <v>75000</v>
      </c>
      <c r="J14" s="98">
        <v>76000</v>
      </c>
      <c r="K14" s="98">
        <v>78000</v>
      </c>
      <c r="L14" s="98">
        <v>79000</v>
      </c>
    </row>
  </sheetData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97"/>
  <sheetViews>
    <sheetView tabSelected="1" zoomScale="115" zoomScaleNormal="115" topLeftCell="A5" workbookViewId="0">
      <selection activeCell="G16" sqref="G16"/>
    </sheetView>
  </sheetViews>
  <sheetFormatPr defaultColWidth="11.5740740740741" defaultRowHeight="14.4" outlineLevelCol="5"/>
  <cols>
    <col min="1" max="1" width="6.71296296296296" customWidth="1"/>
    <col min="2" max="2" width="7.71296296296296" customWidth="1"/>
    <col min="3" max="3" width="41.1388888888889" style="46" customWidth="1"/>
    <col min="4" max="4" width="24" style="46" customWidth="1"/>
    <col min="5" max="5" width="28" customWidth="1"/>
    <col min="6" max="6" width="26.4259259259259" customWidth="1"/>
    <col min="7" max="7" width="6.71296296296296" customWidth="1"/>
    <col min="8" max="8" width="24" customWidth="1"/>
    <col min="9" max="11" width="15.8518518518519" customWidth="1"/>
    <col min="12" max="12" width="12.4259259259259" customWidth="1"/>
    <col min="13" max="13" width="22.5740740740741" customWidth="1"/>
  </cols>
  <sheetData>
    <row r="1" ht="15.15"/>
    <row r="2" ht="28.2" spans="3:6">
      <c r="C2" s="47" t="s">
        <v>6</v>
      </c>
      <c r="D2" s="48"/>
      <c r="E2" s="49"/>
      <c r="F2" s="50">
        <v>9725</v>
      </c>
    </row>
    <row r="3" ht="28.95" spans="3:6">
      <c r="C3" s="51" t="s">
        <v>7</v>
      </c>
      <c r="D3" s="52">
        <v>3850</v>
      </c>
      <c r="E3" s="53"/>
      <c r="F3" s="54"/>
    </row>
    <row r="4" ht="28.95" spans="3:6">
      <c r="C4" s="55" t="s">
        <v>8</v>
      </c>
      <c r="D4" s="56">
        <v>17.213</v>
      </c>
      <c r="E4" s="57"/>
      <c r="F4" s="54" t="s">
        <v>9</v>
      </c>
    </row>
    <row r="5" ht="28.2" spans="3:6">
      <c r="C5" s="51" t="s">
        <v>10</v>
      </c>
      <c r="D5" s="58">
        <f>D3*D4</f>
        <v>66270.05</v>
      </c>
      <c r="E5" s="59"/>
      <c r="F5" s="54"/>
    </row>
    <row r="6" ht="28.2" spans="3:6">
      <c r="C6" s="60" t="s">
        <v>11</v>
      </c>
      <c r="D6" s="61">
        <f>D5*10%</f>
        <v>6627.005</v>
      </c>
      <c r="E6" s="59"/>
      <c r="F6" s="54"/>
    </row>
    <row r="7" ht="28.2" spans="3:6">
      <c r="C7" s="62" t="s">
        <v>12</v>
      </c>
      <c r="D7" s="61">
        <f>IF(E7&lt;202,202,E7)</f>
        <v>530.1604</v>
      </c>
      <c r="E7" s="63">
        <f>D5*0.8%</f>
        <v>530.1604</v>
      </c>
      <c r="F7" s="64"/>
    </row>
    <row r="8" ht="28.2" spans="3:6">
      <c r="C8" s="60" t="s">
        <v>13</v>
      </c>
      <c r="D8" s="61">
        <f>(D5+D6+D7)*16%</f>
        <v>11748.354464</v>
      </c>
      <c r="E8" s="65"/>
      <c r="F8" s="64"/>
    </row>
    <row r="9" ht="28.2" spans="3:6">
      <c r="C9" s="66" t="s">
        <v>14</v>
      </c>
      <c r="D9" s="61">
        <f>SUM(D6:D8)+161</f>
        <v>19066.519864</v>
      </c>
      <c r="E9" s="67">
        <f>D9+350</f>
        <v>19416.519864</v>
      </c>
      <c r="F9" s="64"/>
    </row>
    <row r="10" ht="28.95" spans="3:6">
      <c r="C10" s="68" t="s">
        <v>15</v>
      </c>
      <c r="D10" s="69">
        <v>18000</v>
      </c>
      <c r="E10" s="70"/>
      <c r="F10" s="71"/>
    </row>
    <row r="11" ht="28.95" spans="3:6">
      <c r="C11" s="72" t="s">
        <v>16</v>
      </c>
      <c r="D11" s="73">
        <f>SUM(E9+E10+D10)</f>
        <v>37416.519864</v>
      </c>
      <c r="E11" s="59"/>
      <c r="F11" s="64"/>
    </row>
    <row r="12" ht="15.75" customHeight="1" spans="3:6">
      <c r="C12" s="74"/>
      <c r="D12" s="75"/>
      <c r="E12" s="76"/>
      <c r="F12" s="77"/>
    </row>
    <row r="13" ht="15.15"/>
    <row r="14" ht="36.15" spans="3:6">
      <c r="C14" s="78" t="s">
        <v>17</v>
      </c>
      <c r="D14" s="79"/>
      <c r="E14" s="80"/>
      <c r="F14" s="81"/>
    </row>
    <row r="15" ht="21.75" spans="3:6">
      <c r="C15" s="82" t="s">
        <v>18</v>
      </c>
      <c r="D15" s="83">
        <v>5769</v>
      </c>
    </row>
    <row r="16" ht="21" spans="3:6">
      <c r="C16" s="84" t="s">
        <v>8</v>
      </c>
      <c r="D16" s="85">
        <v>17.252</v>
      </c>
    </row>
    <row r="17" ht="21" spans="3:4">
      <c r="C17" s="86" t="s">
        <v>10</v>
      </c>
      <c r="D17" s="87">
        <f>D15*D16</f>
        <v>99526.788</v>
      </c>
    </row>
    <row r="18" ht="21" spans="3:4">
      <c r="C18" s="86" t="s">
        <v>12</v>
      </c>
      <c r="D18" s="88">
        <v>408</v>
      </c>
    </row>
    <row r="19" ht="21" spans="3:4">
      <c r="C19" s="86" t="s">
        <v>19</v>
      </c>
      <c r="D19" s="88">
        <v>240</v>
      </c>
    </row>
    <row r="20" ht="21" spans="3:4">
      <c r="C20" s="86" t="s">
        <v>20</v>
      </c>
      <c r="D20" s="87">
        <f>D17*50%</f>
        <v>49763.394</v>
      </c>
    </row>
    <row r="21" ht="41.25" customHeight="1" spans="3:4">
      <c r="C21" s="86" t="s">
        <v>13</v>
      </c>
      <c r="D21" s="87">
        <f>(D17+D20+D18)*16%</f>
        <v>23951.70912</v>
      </c>
    </row>
    <row r="22" ht="21" spans="3:4">
      <c r="C22" s="86" t="s">
        <v>21</v>
      </c>
      <c r="D22" s="87">
        <v>290</v>
      </c>
    </row>
    <row r="23" ht="21" spans="3:4">
      <c r="C23" s="89" t="s">
        <v>14</v>
      </c>
      <c r="D23" s="90">
        <f>SUM(D18:D22)</f>
        <v>74653.10312</v>
      </c>
    </row>
    <row r="24" ht="24.6" spans="3:4">
      <c r="C24" s="91" t="s">
        <v>15</v>
      </c>
      <c r="D24" s="92">
        <v>22000</v>
      </c>
    </row>
    <row r="25" ht="25.35" spans="3:4">
      <c r="C25" s="93" t="s">
        <v>22</v>
      </c>
      <c r="D25" s="94">
        <f>D23+D24</f>
        <v>96653.10312</v>
      </c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/>
      <c r="D36"/>
    </row>
    <row r="37" spans="3:4">
      <c r="C37"/>
      <c r="D37"/>
    </row>
    <row r="38" spans="3:4">
      <c r="C38"/>
      <c r="D38"/>
    </row>
    <row r="39" spans="3:4">
      <c r="C39"/>
      <c r="D39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/>
      <c r="D44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/>
      <c r="D55"/>
    </row>
    <row r="56" spans="3:4">
      <c r="C56"/>
      <c r="D56"/>
    </row>
    <row r="57" spans="3:4">
      <c r="C57"/>
      <c r="D57"/>
    </row>
    <row r="58" spans="3:4">
      <c r="C58"/>
      <c r="D58"/>
    </row>
    <row r="59" spans="3:4">
      <c r="C59"/>
      <c r="D59"/>
    </row>
    <row r="97" spans="4:4">
      <c r="D97" s="46" t="s">
        <v>23</v>
      </c>
    </row>
  </sheetData>
  <mergeCells count="2">
    <mergeCell ref="C2:E2"/>
    <mergeCell ref="C14:F1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workbookViewId="0">
      <selection activeCell="C43" sqref="C43"/>
    </sheetView>
  </sheetViews>
  <sheetFormatPr defaultColWidth="11.4259259259259" defaultRowHeight="50.25" customHeight="1"/>
  <cols>
    <col min="1" max="2" width="12.712962962963" customWidth="1"/>
    <col min="3" max="3" width="40.712962962963" customWidth="1"/>
    <col min="4" max="7" width="12.712962962963" customWidth="1"/>
    <col min="8" max="9" width="12.712962962963" style="1" customWidth="1"/>
    <col min="10" max="13" width="12.712962962963" customWidth="1"/>
  </cols>
  <sheetData>
    <row r="1" ht="39.75" customHeight="1" spans="1:13">
      <c r="A1" s="5"/>
      <c r="B1" s="5"/>
      <c r="C1" s="29" t="s">
        <v>24</v>
      </c>
      <c r="D1" s="5"/>
      <c r="E1" s="5"/>
      <c r="F1" s="5"/>
      <c r="G1" s="5"/>
      <c r="H1" s="11"/>
      <c r="I1" s="11"/>
      <c r="J1" s="5"/>
      <c r="K1" s="5"/>
      <c r="L1" s="5"/>
      <c r="M1" s="5"/>
    </row>
    <row r="2" ht="19.5" customHeight="1" spans="1:13">
      <c r="A2" s="5"/>
      <c r="B2" s="5"/>
      <c r="C2" s="29"/>
      <c r="D2" s="32"/>
      <c r="E2" s="35">
        <v>2009</v>
      </c>
      <c r="F2" s="35">
        <v>2010</v>
      </c>
      <c r="G2" s="35">
        <v>2011</v>
      </c>
      <c r="H2" s="35">
        <v>2012</v>
      </c>
      <c r="I2" s="35">
        <v>2013</v>
      </c>
      <c r="J2" s="35">
        <v>2014</v>
      </c>
      <c r="K2" s="35">
        <v>2015</v>
      </c>
      <c r="L2" s="35">
        <v>2016</v>
      </c>
      <c r="M2" s="35">
        <v>2017</v>
      </c>
    </row>
    <row r="3" customHeight="1" spans="1:13">
      <c r="A3" s="14"/>
      <c r="B3" s="15" t="s">
        <v>25</v>
      </c>
      <c r="C3" s="31"/>
      <c r="D3" s="34" t="s">
        <v>26</v>
      </c>
      <c r="E3" s="29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18" t="s">
        <v>32</v>
      </c>
      <c r="K3" s="18" t="s">
        <v>33</v>
      </c>
      <c r="L3" s="18" t="s">
        <v>34</v>
      </c>
      <c r="M3" s="18" t="s">
        <v>35</v>
      </c>
    </row>
    <row r="4" ht="14.4" spans="1:13">
      <c r="A4" s="19"/>
      <c r="B4" s="19"/>
      <c r="C4" s="20" t="s">
        <v>36</v>
      </c>
      <c r="D4" s="19"/>
      <c r="E4" s="19"/>
      <c r="F4" s="19"/>
      <c r="G4" s="19"/>
      <c r="H4" s="21"/>
      <c r="I4" s="21"/>
      <c r="J4" s="19"/>
      <c r="K4" s="19"/>
      <c r="L4" s="19"/>
      <c r="M4" s="19"/>
    </row>
    <row r="5" ht="14.4" spans="1:13">
      <c r="A5" s="19"/>
      <c r="B5" s="19"/>
      <c r="C5" s="20" t="s">
        <v>37</v>
      </c>
      <c r="D5" s="19"/>
      <c r="E5" s="19"/>
      <c r="F5" s="19"/>
      <c r="G5" s="19"/>
      <c r="H5" s="21"/>
      <c r="I5" s="21"/>
      <c r="J5" s="19"/>
      <c r="K5" s="19"/>
      <c r="L5" s="19"/>
      <c r="M5" s="19"/>
    </row>
    <row r="6" ht="14.4" spans="1:13">
      <c r="A6" s="22">
        <v>66</v>
      </c>
      <c r="B6" s="19"/>
      <c r="C6" s="19" t="s">
        <v>38</v>
      </c>
      <c r="D6" s="19" t="s">
        <v>39</v>
      </c>
      <c r="E6" s="24">
        <v>1050</v>
      </c>
      <c r="F6" s="24">
        <v>1250</v>
      </c>
      <c r="G6" s="24">
        <v>1425</v>
      </c>
      <c r="H6" s="21"/>
      <c r="I6" s="21"/>
      <c r="J6" s="19"/>
      <c r="K6" s="19"/>
      <c r="L6" s="19"/>
      <c r="M6" s="19"/>
    </row>
    <row r="7" ht="14.4" spans="1:13">
      <c r="A7" s="19"/>
      <c r="B7" s="19"/>
      <c r="C7" s="19"/>
      <c r="D7" s="19"/>
      <c r="E7" s="19"/>
      <c r="F7" s="19"/>
      <c r="G7" s="19"/>
      <c r="H7" s="21"/>
      <c r="I7" s="21"/>
      <c r="J7" s="19"/>
      <c r="K7" s="19"/>
      <c r="L7" s="19"/>
      <c r="M7" s="19"/>
    </row>
    <row r="8" ht="14.4" spans="1:13">
      <c r="A8" s="22">
        <v>67</v>
      </c>
      <c r="B8" s="19"/>
      <c r="C8" s="19" t="s">
        <v>40</v>
      </c>
      <c r="D8" s="19" t="s">
        <v>39</v>
      </c>
      <c r="E8" s="24">
        <v>1200</v>
      </c>
      <c r="F8" s="24">
        <v>1388</v>
      </c>
      <c r="G8" s="24">
        <v>1563</v>
      </c>
      <c r="H8" s="23">
        <v>1975</v>
      </c>
      <c r="I8" s="21"/>
      <c r="J8" s="19"/>
      <c r="K8" s="19"/>
      <c r="L8" s="19"/>
      <c r="M8" s="19"/>
    </row>
    <row r="9" ht="14.4" spans="1:13">
      <c r="A9" s="19"/>
      <c r="B9" s="19"/>
      <c r="C9" s="19"/>
      <c r="D9" s="19"/>
      <c r="E9" s="19"/>
      <c r="F9" s="19"/>
      <c r="G9" s="19"/>
      <c r="H9" s="21"/>
      <c r="I9" s="21"/>
      <c r="J9" s="19"/>
      <c r="K9" s="19"/>
      <c r="L9" s="19"/>
      <c r="M9" s="19"/>
    </row>
    <row r="10" ht="14.4" spans="1:13">
      <c r="A10" s="22">
        <v>68</v>
      </c>
      <c r="B10" s="19"/>
      <c r="C10" s="19" t="s">
        <v>41</v>
      </c>
      <c r="D10" s="19" t="s">
        <v>39</v>
      </c>
      <c r="E10" s="19"/>
      <c r="F10" s="19"/>
      <c r="G10" s="19"/>
      <c r="H10" s="21"/>
      <c r="I10" s="21"/>
      <c r="J10" s="19"/>
      <c r="K10" s="19"/>
      <c r="L10" s="19"/>
      <c r="M10" s="24">
        <v>14275</v>
      </c>
    </row>
    <row r="11" ht="14.4" spans="1:13">
      <c r="A11" s="19"/>
      <c r="B11" s="19"/>
      <c r="C11" s="19"/>
      <c r="D11" s="19"/>
      <c r="E11" s="19"/>
      <c r="F11" s="19"/>
      <c r="G11" s="19"/>
      <c r="H11" s="21"/>
      <c r="I11" s="21"/>
      <c r="J11" s="19"/>
      <c r="K11" s="19"/>
      <c r="L11" s="19"/>
      <c r="M11" s="19"/>
    </row>
    <row r="12" ht="14.4" spans="1:13">
      <c r="A12" s="19"/>
      <c r="B12" s="19"/>
      <c r="C12" s="20" t="s">
        <v>42</v>
      </c>
      <c r="D12" s="19"/>
      <c r="E12" s="19"/>
      <c r="F12" s="19"/>
      <c r="G12" s="19"/>
      <c r="H12" s="21"/>
      <c r="I12" s="21"/>
      <c r="J12" s="19"/>
      <c r="K12" s="19"/>
      <c r="L12" s="19"/>
      <c r="M12" s="19"/>
    </row>
    <row r="13" ht="14.4" spans="1:13">
      <c r="A13" s="22">
        <v>69</v>
      </c>
      <c r="B13" s="19"/>
      <c r="C13" s="19" t="s">
        <v>43</v>
      </c>
      <c r="D13" s="19" t="s">
        <v>39</v>
      </c>
      <c r="E13" s="19"/>
      <c r="F13" s="19"/>
      <c r="G13" s="19"/>
      <c r="H13" s="21"/>
      <c r="I13" s="21"/>
      <c r="J13" s="19"/>
      <c r="K13" s="19"/>
      <c r="L13" s="19"/>
      <c r="M13" s="24">
        <v>10200</v>
      </c>
    </row>
    <row r="14" ht="14.4" spans="1:13">
      <c r="A14" s="19"/>
      <c r="B14" s="19"/>
      <c r="C14" s="19"/>
      <c r="D14" s="19"/>
      <c r="E14" s="19"/>
      <c r="F14" s="19"/>
      <c r="G14" s="19"/>
      <c r="H14" s="21"/>
      <c r="I14" s="21"/>
      <c r="J14" s="19"/>
      <c r="K14" s="19"/>
      <c r="L14" s="19"/>
      <c r="M14" s="19"/>
    </row>
    <row r="15" ht="14.4" spans="1:13">
      <c r="A15" s="22">
        <v>70</v>
      </c>
      <c r="B15" s="19"/>
      <c r="C15" s="19" t="s">
        <v>44</v>
      </c>
      <c r="D15" s="19" t="s">
        <v>39</v>
      </c>
      <c r="E15" s="19"/>
      <c r="F15" s="19"/>
      <c r="G15" s="24">
        <v>4850</v>
      </c>
      <c r="H15" s="23">
        <v>5275</v>
      </c>
      <c r="I15" s="23">
        <v>5825</v>
      </c>
      <c r="J15" s="24">
        <v>6525</v>
      </c>
      <c r="K15" s="24">
        <v>8250</v>
      </c>
      <c r="L15" s="24">
        <v>9875</v>
      </c>
      <c r="M15" s="24">
        <v>10583</v>
      </c>
    </row>
    <row r="16" ht="14.4" spans="1:13">
      <c r="A16" s="19"/>
      <c r="B16" s="19"/>
      <c r="C16" s="19"/>
      <c r="D16" s="19"/>
      <c r="E16" s="19"/>
      <c r="F16" s="19"/>
      <c r="G16" s="19"/>
      <c r="H16" s="21"/>
      <c r="I16" s="21"/>
      <c r="J16" s="19"/>
      <c r="K16" s="19"/>
      <c r="L16" s="19"/>
      <c r="M16" s="19"/>
    </row>
    <row r="17" ht="14.4" spans="1:13">
      <c r="A17" s="22">
        <v>71</v>
      </c>
      <c r="B17" s="19"/>
      <c r="C17" s="19" t="s">
        <v>45</v>
      </c>
      <c r="D17" s="19" t="s">
        <v>39</v>
      </c>
      <c r="E17" s="19"/>
      <c r="F17" s="19"/>
      <c r="G17" s="19"/>
      <c r="H17" s="21"/>
      <c r="I17" s="21"/>
      <c r="J17" s="19"/>
      <c r="K17" s="19"/>
      <c r="L17" s="19"/>
      <c r="M17" s="24">
        <v>9963</v>
      </c>
    </row>
    <row r="18" ht="14.4" spans="1:13">
      <c r="A18" s="19"/>
      <c r="B18" s="19"/>
      <c r="C18" s="19"/>
      <c r="D18" s="19"/>
      <c r="E18" s="19"/>
      <c r="F18" s="19"/>
      <c r="G18" s="19"/>
      <c r="H18" s="21"/>
      <c r="I18" s="21"/>
      <c r="J18" s="19"/>
      <c r="K18" s="19"/>
      <c r="L18" s="19"/>
      <c r="M18" s="19"/>
    </row>
    <row r="19" ht="14.4" spans="1:13">
      <c r="A19" s="19"/>
      <c r="B19" s="19"/>
      <c r="C19" s="20" t="s">
        <v>46</v>
      </c>
      <c r="D19" s="19"/>
      <c r="E19" s="19"/>
      <c r="F19" s="19"/>
      <c r="G19" s="19"/>
      <c r="H19" s="21"/>
      <c r="I19" s="21"/>
      <c r="J19" s="19"/>
      <c r="K19" s="19"/>
      <c r="L19" s="19"/>
      <c r="M19" s="19"/>
    </row>
    <row r="20" ht="14.4" spans="1:13">
      <c r="A20" s="22">
        <v>72</v>
      </c>
      <c r="B20" s="19"/>
      <c r="C20" s="19" t="s">
        <v>47</v>
      </c>
      <c r="D20" s="19" t="s">
        <v>39</v>
      </c>
      <c r="E20" s="24">
        <v>1000</v>
      </c>
      <c r="F20" s="24">
        <v>1088</v>
      </c>
      <c r="G20" s="24">
        <v>1538</v>
      </c>
      <c r="H20" s="23">
        <v>1700</v>
      </c>
      <c r="I20" s="23">
        <v>1933</v>
      </c>
      <c r="J20" s="24">
        <v>2275</v>
      </c>
      <c r="K20" s="24">
        <v>2913</v>
      </c>
      <c r="L20" s="24">
        <v>3575</v>
      </c>
      <c r="M20" s="24">
        <v>4111</v>
      </c>
    </row>
    <row r="21" ht="14.4" spans="1:13">
      <c r="A21" s="19"/>
      <c r="B21" s="19"/>
      <c r="C21" s="19"/>
      <c r="D21" s="19"/>
      <c r="E21" s="19"/>
      <c r="F21" s="19"/>
      <c r="G21" s="19"/>
      <c r="H21" s="21"/>
      <c r="I21" s="21"/>
      <c r="J21" s="19"/>
      <c r="K21" s="19"/>
      <c r="L21" s="19"/>
      <c r="M21" s="19"/>
    </row>
    <row r="22" ht="14.4" spans="1:13">
      <c r="A22" s="19"/>
      <c r="B22" s="19"/>
      <c r="C22" s="20" t="s">
        <v>48</v>
      </c>
      <c r="D22" s="19"/>
      <c r="E22" s="19"/>
      <c r="F22" s="19"/>
      <c r="G22" s="19"/>
      <c r="H22" s="21"/>
      <c r="I22" s="21"/>
      <c r="J22" s="19"/>
      <c r="K22" s="19"/>
      <c r="L22" s="19"/>
      <c r="M22" s="19"/>
    </row>
    <row r="23" ht="14.4" spans="1:13">
      <c r="A23" s="22">
        <v>73</v>
      </c>
      <c r="B23" s="19"/>
      <c r="C23" s="19" t="s">
        <v>49</v>
      </c>
      <c r="D23" s="19" t="s">
        <v>39</v>
      </c>
      <c r="E23" s="19"/>
      <c r="F23" s="19"/>
      <c r="G23" s="19"/>
      <c r="H23" s="23">
        <v>1575</v>
      </c>
      <c r="I23" s="23">
        <v>2025</v>
      </c>
      <c r="J23" s="24">
        <v>2225</v>
      </c>
      <c r="K23" s="24">
        <v>3413</v>
      </c>
      <c r="L23" s="24">
        <v>3850</v>
      </c>
      <c r="M23" s="24">
        <v>4428</v>
      </c>
    </row>
    <row r="24" ht="14.4" spans="1:13">
      <c r="A24" s="19"/>
      <c r="B24" s="19"/>
      <c r="C24" s="19"/>
      <c r="D24" s="19"/>
      <c r="E24" s="19"/>
      <c r="F24" s="19"/>
      <c r="G24" s="19"/>
      <c r="H24" s="21"/>
      <c r="I24" s="21"/>
      <c r="J24" s="19"/>
      <c r="K24" s="19"/>
      <c r="L24" s="19"/>
      <c r="M24" s="19"/>
    </row>
    <row r="25" ht="14.4" spans="1:13">
      <c r="A25" s="19"/>
      <c r="B25" s="19"/>
      <c r="C25" s="20" t="s">
        <v>50</v>
      </c>
      <c r="D25" s="19"/>
      <c r="E25" s="19"/>
      <c r="F25" s="19"/>
      <c r="G25" s="19"/>
      <c r="H25" s="21"/>
      <c r="I25" s="21"/>
      <c r="J25" s="19"/>
      <c r="K25" s="19"/>
      <c r="L25" s="19"/>
      <c r="M25" s="19"/>
    </row>
    <row r="26" ht="14.4" spans="1:13">
      <c r="A26" s="22">
        <v>74</v>
      </c>
      <c r="B26" s="19"/>
      <c r="C26" s="19" t="s">
        <v>51</v>
      </c>
      <c r="D26" s="19" t="s">
        <v>39</v>
      </c>
      <c r="E26" s="24">
        <v>2008</v>
      </c>
      <c r="F26" s="24">
        <v>2375</v>
      </c>
      <c r="G26" s="24">
        <v>2600</v>
      </c>
      <c r="H26" s="23">
        <v>3138</v>
      </c>
      <c r="I26" s="23">
        <v>3731</v>
      </c>
      <c r="J26" s="24">
        <v>4088</v>
      </c>
      <c r="K26" s="19"/>
      <c r="L26" s="19"/>
      <c r="M26" s="19"/>
    </row>
    <row r="27" ht="14.4" spans="1:13">
      <c r="A27" s="19"/>
      <c r="B27" s="19"/>
      <c r="C27" s="19"/>
      <c r="D27" s="19"/>
      <c r="E27" s="19"/>
      <c r="F27" s="19"/>
      <c r="G27" s="19"/>
      <c r="H27" s="21"/>
      <c r="I27" s="21"/>
      <c r="J27" s="19"/>
      <c r="K27" s="19"/>
      <c r="L27" s="19"/>
      <c r="M27" s="19"/>
    </row>
    <row r="28" ht="14.4" spans="1:13">
      <c r="A28" s="22">
        <v>75</v>
      </c>
      <c r="B28" s="19"/>
      <c r="C28" s="19" t="s">
        <v>52</v>
      </c>
      <c r="D28" s="19" t="s">
        <v>39</v>
      </c>
      <c r="E28" s="19"/>
      <c r="F28" s="19"/>
      <c r="G28" s="19"/>
      <c r="H28" s="21"/>
      <c r="I28" s="21"/>
      <c r="J28" s="19"/>
      <c r="K28" s="24">
        <v>8492</v>
      </c>
      <c r="L28" s="24">
        <v>9733</v>
      </c>
      <c r="M28" s="24">
        <v>11193</v>
      </c>
    </row>
    <row r="29" ht="14.4" spans="1:13">
      <c r="A29" s="19"/>
      <c r="B29" s="19"/>
      <c r="C29" s="19"/>
      <c r="D29" s="19"/>
      <c r="E29" s="19"/>
      <c r="F29" s="19"/>
      <c r="G29" s="19"/>
      <c r="H29" s="21"/>
      <c r="I29" s="21"/>
      <c r="J29" s="19"/>
      <c r="K29" s="19"/>
      <c r="L29" s="19"/>
      <c r="M29" s="19"/>
    </row>
    <row r="30" ht="14.4" spans="1:13">
      <c r="A30" s="19"/>
      <c r="B30" s="19"/>
      <c r="C30" s="20" t="s">
        <v>53</v>
      </c>
      <c r="D30" s="19"/>
      <c r="E30" s="19"/>
      <c r="F30" s="19"/>
      <c r="G30" s="19"/>
      <c r="H30" s="21"/>
      <c r="I30" s="21"/>
      <c r="J30" s="19"/>
      <c r="K30" s="19"/>
      <c r="L30" s="19"/>
      <c r="M30" s="19"/>
    </row>
    <row r="31" ht="14.4" spans="1:13">
      <c r="A31" s="22">
        <v>76</v>
      </c>
      <c r="B31" s="19"/>
      <c r="C31" s="19" t="s">
        <v>54</v>
      </c>
      <c r="D31" s="19" t="s">
        <v>39</v>
      </c>
      <c r="E31" s="24">
        <v>1663</v>
      </c>
      <c r="F31" s="24">
        <v>1800</v>
      </c>
      <c r="G31" s="24">
        <v>2163</v>
      </c>
      <c r="H31" s="23">
        <v>2333</v>
      </c>
      <c r="I31" s="23">
        <v>2750</v>
      </c>
      <c r="J31" s="19"/>
      <c r="K31" s="19"/>
      <c r="L31" s="19"/>
      <c r="M31" s="19"/>
    </row>
    <row r="32" ht="14.4" spans="1:13">
      <c r="A32" s="19"/>
      <c r="B32" s="19"/>
      <c r="C32" s="19"/>
      <c r="D32" s="19"/>
      <c r="E32" s="19"/>
      <c r="F32" s="19"/>
      <c r="G32" s="19"/>
      <c r="H32" s="21"/>
      <c r="I32" s="21"/>
      <c r="J32" s="19"/>
      <c r="K32" s="19"/>
      <c r="L32" s="19"/>
      <c r="M32" s="19"/>
    </row>
    <row r="33" ht="14.4" spans="1:13">
      <c r="A33" s="19"/>
      <c r="B33" s="19"/>
      <c r="C33" s="20" t="s">
        <v>55</v>
      </c>
      <c r="D33" s="19"/>
      <c r="E33" s="19"/>
      <c r="F33" s="19"/>
      <c r="G33" s="19"/>
      <c r="H33" s="21"/>
      <c r="I33" s="21"/>
      <c r="J33" s="19"/>
      <c r="K33" s="19"/>
      <c r="L33" s="19"/>
      <c r="M33" s="19"/>
    </row>
    <row r="34" ht="14.4" spans="1:13">
      <c r="A34" s="22">
        <v>77</v>
      </c>
      <c r="B34" s="19"/>
      <c r="C34" s="19" t="s">
        <v>56</v>
      </c>
      <c r="D34" s="19" t="s">
        <v>39</v>
      </c>
      <c r="E34" s="19"/>
      <c r="F34" s="19"/>
      <c r="G34" s="19"/>
      <c r="H34" s="21"/>
      <c r="I34" s="21"/>
      <c r="J34" s="19"/>
      <c r="K34" s="24">
        <v>5825</v>
      </c>
      <c r="L34" s="24">
        <v>6650</v>
      </c>
      <c r="M34" s="19"/>
    </row>
    <row r="35" ht="14.4" spans="1:13">
      <c r="A35" s="19"/>
      <c r="B35" s="19"/>
      <c r="C35" s="19"/>
      <c r="D35" s="19"/>
      <c r="E35" s="19"/>
      <c r="F35" s="19"/>
      <c r="G35" s="19"/>
      <c r="H35" s="21"/>
      <c r="I35" s="21"/>
      <c r="J35" s="19"/>
      <c r="K35" s="19"/>
      <c r="L35" s="19"/>
      <c r="M35" s="19"/>
    </row>
    <row r="36" ht="14.4" spans="1:13">
      <c r="A36" s="22">
        <v>78</v>
      </c>
      <c r="B36" s="19"/>
      <c r="C36" s="19" t="s">
        <v>57</v>
      </c>
      <c r="D36" s="19" t="s">
        <v>39</v>
      </c>
      <c r="E36" s="19"/>
      <c r="F36" s="19"/>
      <c r="G36" s="19"/>
      <c r="H36" s="21"/>
      <c r="I36" s="21"/>
      <c r="J36" s="19"/>
      <c r="K36" s="24">
        <v>6600</v>
      </c>
      <c r="L36" s="24">
        <v>7450</v>
      </c>
      <c r="M36" s="24">
        <v>8568</v>
      </c>
    </row>
    <row r="37" ht="14.4" spans="1:13">
      <c r="A37" s="19"/>
      <c r="B37" s="19"/>
      <c r="C37" s="19"/>
      <c r="D37" s="19"/>
      <c r="E37" s="19"/>
      <c r="F37" s="19"/>
      <c r="G37" s="19"/>
      <c r="H37" s="21"/>
      <c r="I37" s="21"/>
      <c r="J37" s="19"/>
      <c r="K37" s="19"/>
      <c r="L37" s="19"/>
      <c r="M37" s="19"/>
    </row>
    <row r="38" ht="14.4" spans="1:13">
      <c r="A38" s="19"/>
      <c r="B38" s="19"/>
      <c r="C38" s="20" t="s">
        <v>58</v>
      </c>
      <c r="D38" s="19"/>
      <c r="E38" s="19"/>
      <c r="F38" s="19"/>
      <c r="G38" s="19"/>
      <c r="H38" s="21"/>
      <c r="I38" s="21"/>
      <c r="J38" s="19"/>
      <c r="K38" s="19"/>
      <c r="L38" s="19"/>
      <c r="M38" s="19"/>
    </row>
    <row r="39" ht="14.4" spans="1:13">
      <c r="A39" s="22">
        <v>79</v>
      </c>
      <c r="B39" s="19"/>
      <c r="C39" s="19" t="s">
        <v>59</v>
      </c>
      <c r="D39" s="19" t="s">
        <v>39</v>
      </c>
      <c r="E39" s="19"/>
      <c r="F39" s="19"/>
      <c r="G39" s="19"/>
      <c r="H39" s="21"/>
      <c r="I39" s="21"/>
      <c r="J39" s="19"/>
      <c r="K39" s="19"/>
      <c r="L39" s="19"/>
      <c r="M39" s="24">
        <v>6992</v>
      </c>
    </row>
    <row r="40" ht="14.4" spans="1:13">
      <c r="A40" s="19"/>
      <c r="B40" s="19"/>
      <c r="C40" s="19"/>
      <c r="D40" s="19"/>
      <c r="E40" s="19"/>
      <c r="F40" s="19"/>
      <c r="G40" s="19"/>
      <c r="H40" s="21"/>
      <c r="I40" s="21"/>
      <c r="J40" s="19"/>
      <c r="K40" s="19"/>
      <c r="L40" s="19"/>
      <c r="M40" s="19"/>
    </row>
    <row r="41" ht="14.4" spans="1:13">
      <c r="A41" s="19"/>
      <c r="B41" s="19"/>
      <c r="C41" s="20" t="s">
        <v>60</v>
      </c>
      <c r="D41" s="19"/>
      <c r="E41" s="19"/>
      <c r="F41" s="19"/>
      <c r="G41" s="19"/>
      <c r="H41" s="21"/>
      <c r="I41" s="21"/>
      <c r="J41" s="19"/>
      <c r="K41" s="19"/>
      <c r="L41" s="19"/>
      <c r="M41" s="19"/>
    </row>
    <row r="42" ht="14.4" spans="1:13">
      <c r="A42" s="22">
        <v>80</v>
      </c>
      <c r="B42" s="19"/>
      <c r="C42" s="19" t="s">
        <v>61</v>
      </c>
      <c r="D42" s="19" t="s">
        <v>39</v>
      </c>
      <c r="E42" s="24">
        <v>1050</v>
      </c>
      <c r="F42" s="24">
        <v>1200</v>
      </c>
      <c r="G42" s="24">
        <v>1475</v>
      </c>
      <c r="H42" s="23">
        <v>1663</v>
      </c>
      <c r="I42" s="21"/>
      <c r="J42" s="19"/>
      <c r="K42" s="19"/>
      <c r="L42" s="19"/>
      <c r="M42" s="19"/>
    </row>
    <row r="43" ht="14.4" spans="1:13">
      <c r="A43" s="19"/>
      <c r="B43" s="19"/>
      <c r="C43" s="19"/>
      <c r="D43" s="19"/>
      <c r="E43" s="19"/>
      <c r="F43" s="19"/>
      <c r="G43" s="19"/>
      <c r="H43" s="21"/>
      <c r="I43" s="21"/>
      <c r="J43" s="19"/>
      <c r="K43" s="19"/>
      <c r="L43" s="19"/>
      <c r="M43" s="19"/>
    </row>
    <row r="44" ht="14.4" spans="1:13">
      <c r="A44" s="19"/>
      <c r="B44" s="19"/>
      <c r="C44" s="20" t="s">
        <v>62</v>
      </c>
      <c r="D44" s="19"/>
      <c r="E44" s="19"/>
      <c r="F44" s="19"/>
      <c r="G44" s="19"/>
      <c r="H44" s="21"/>
      <c r="I44" s="21"/>
      <c r="J44" s="19"/>
      <c r="K44" s="19"/>
      <c r="L44" s="19"/>
      <c r="M44" s="19"/>
    </row>
    <row r="45" ht="14.4" spans="1:13">
      <c r="A45" s="22">
        <v>81</v>
      </c>
      <c r="B45" s="19"/>
      <c r="C45" s="19" t="s">
        <v>63</v>
      </c>
      <c r="D45" s="19" t="s">
        <v>39</v>
      </c>
      <c r="E45" s="19"/>
      <c r="F45" s="19"/>
      <c r="G45" s="24">
        <v>3188</v>
      </c>
      <c r="H45" s="23">
        <v>3438</v>
      </c>
      <c r="I45" s="23">
        <v>3813</v>
      </c>
      <c r="J45" s="24">
        <v>4113</v>
      </c>
      <c r="K45" s="24">
        <v>4913</v>
      </c>
      <c r="L45" s="24">
        <v>5838</v>
      </c>
      <c r="M45" s="19"/>
    </row>
    <row r="46" ht="14.4" spans="1:13">
      <c r="A46" s="19"/>
      <c r="B46" s="19"/>
      <c r="C46" s="19"/>
      <c r="D46" s="19"/>
      <c r="E46" s="19"/>
      <c r="F46" s="19"/>
      <c r="G46" s="19"/>
      <c r="H46" s="21"/>
      <c r="I46" s="21"/>
      <c r="J46" s="19"/>
      <c r="K46" s="19"/>
      <c r="L46" s="19"/>
      <c r="M46" s="19"/>
    </row>
    <row r="47" ht="14.4" spans="1:13">
      <c r="A47" s="22">
        <v>82</v>
      </c>
      <c r="B47" s="19"/>
      <c r="C47" s="19" t="s">
        <v>64</v>
      </c>
      <c r="D47" s="19" t="s">
        <v>39</v>
      </c>
      <c r="E47" s="19"/>
      <c r="F47" s="19"/>
      <c r="G47" s="19"/>
      <c r="H47" s="23">
        <v>5800</v>
      </c>
      <c r="I47" s="23">
        <v>6325</v>
      </c>
      <c r="J47" s="24">
        <v>6800</v>
      </c>
      <c r="K47" s="24">
        <v>9500</v>
      </c>
      <c r="L47" s="24">
        <v>11300</v>
      </c>
      <c r="M47" s="24">
        <v>12995</v>
      </c>
    </row>
    <row r="48" ht="14.4" spans="1:13">
      <c r="A48" s="19"/>
      <c r="B48" s="19"/>
      <c r="C48" s="19"/>
      <c r="D48" s="19"/>
      <c r="E48" s="19"/>
      <c r="F48" s="19"/>
      <c r="G48" s="19"/>
      <c r="H48" s="21"/>
      <c r="I48" s="21"/>
      <c r="J48" s="19"/>
      <c r="K48" s="19"/>
      <c r="L48" s="19"/>
      <c r="M48" s="19"/>
    </row>
    <row r="49" ht="14.4" spans="1:13">
      <c r="A49" s="22">
        <v>83</v>
      </c>
      <c r="B49" s="19"/>
      <c r="C49" s="19" t="s">
        <v>65</v>
      </c>
      <c r="D49" s="19" t="s">
        <v>39</v>
      </c>
      <c r="E49" s="24">
        <v>2225</v>
      </c>
      <c r="F49" s="19"/>
      <c r="G49" s="19"/>
      <c r="H49" s="21"/>
      <c r="I49" s="21"/>
      <c r="J49" s="19"/>
      <c r="K49" s="19"/>
      <c r="L49" s="19"/>
      <c r="M49" s="19"/>
    </row>
    <row r="50" ht="14.4" spans="1:13">
      <c r="A50" s="19"/>
      <c r="B50" s="19"/>
      <c r="C50" s="19"/>
      <c r="D50" s="19"/>
      <c r="E50" s="19"/>
      <c r="F50" s="19"/>
      <c r="G50" s="19"/>
      <c r="H50" s="21"/>
      <c r="I50" s="21"/>
      <c r="J50" s="19"/>
      <c r="K50" s="19"/>
      <c r="L50" s="19"/>
      <c r="M50" s="19"/>
    </row>
    <row r="51" ht="14.4" spans="1:13">
      <c r="A51" s="22">
        <v>84</v>
      </c>
      <c r="B51" s="19"/>
      <c r="C51" s="19" t="s">
        <v>66</v>
      </c>
      <c r="D51" s="19" t="s">
        <v>39</v>
      </c>
      <c r="E51" s="19"/>
      <c r="F51" s="19"/>
      <c r="G51" s="19"/>
      <c r="H51" s="21"/>
      <c r="I51" s="21"/>
      <c r="J51" s="19"/>
      <c r="K51" s="19"/>
      <c r="L51" s="19"/>
      <c r="M51" s="24">
        <v>7767</v>
      </c>
    </row>
    <row r="52" ht="14.4" spans="1:13">
      <c r="A52" s="19"/>
      <c r="B52" s="19"/>
      <c r="C52" s="19"/>
      <c r="D52" s="19"/>
      <c r="E52" s="19"/>
      <c r="F52" s="19"/>
      <c r="G52" s="19"/>
      <c r="H52" s="21"/>
      <c r="I52" s="21"/>
      <c r="J52" s="19"/>
      <c r="K52" s="19"/>
      <c r="L52" s="19"/>
      <c r="M52" s="19"/>
    </row>
    <row r="53" ht="14.4" spans="1:13">
      <c r="A53" s="19"/>
      <c r="B53" s="19"/>
      <c r="C53" s="20" t="s">
        <v>67</v>
      </c>
      <c r="D53" s="19"/>
      <c r="E53" s="19"/>
      <c r="F53" s="19"/>
      <c r="G53" s="19"/>
      <c r="H53" s="21"/>
      <c r="I53" s="21"/>
      <c r="J53" s="19"/>
      <c r="K53" s="19"/>
      <c r="L53" s="19"/>
      <c r="M53" s="19"/>
    </row>
    <row r="54" ht="14.4" spans="1:13">
      <c r="A54" s="22">
        <v>85</v>
      </c>
      <c r="B54" s="19"/>
      <c r="C54" s="19" t="s">
        <v>68</v>
      </c>
      <c r="D54" s="19" t="s">
        <v>39</v>
      </c>
      <c r="E54" s="19"/>
      <c r="F54" s="19"/>
      <c r="G54" s="19"/>
      <c r="H54" s="21"/>
      <c r="I54" s="21"/>
      <c r="J54" s="19"/>
      <c r="K54" s="19"/>
      <c r="L54" s="19"/>
      <c r="M54" s="24">
        <v>14950</v>
      </c>
    </row>
    <row r="55" ht="14.4" spans="1:13">
      <c r="A55" s="19"/>
      <c r="B55" s="19"/>
      <c r="C55" s="19"/>
      <c r="D55" s="19"/>
      <c r="E55" s="19"/>
      <c r="F55" s="19"/>
      <c r="G55" s="19"/>
      <c r="H55" s="21"/>
      <c r="I55" s="21"/>
      <c r="J55" s="19"/>
      <c r="K55" s="19"/>
      <c r="L55" s="19"/>
      <c r="M55" s="19"/>
    </row>
    <row r="56" ht="14.4" spans="1:13">
      <c r="A56" s="2"/>
      <c r="B56" s="2"/>
      <c r="C56" s="2" t="s">
        <v>69</v>
      </c>
      <c r="D56" s="2"/>
      <c r="E56" s="2"/>
      <c r="F56" s="2"/>
      <c r="G56" s="2"/>
      <c r="H56" s="4"/>
      <c r="I56" s="4"/>
      <c r="J56" s="2"/>
      <c r="K56" s="2"/>
      <c r="L56" s="2"/>
      <c r="M56" s="2"/>
    </row>
    <row r="57" ht="14.4" spans="1:13">
      <c r="A57" s="6"/>
      <c r="B57" s="5"/>
      <c r="C57" s="5"/>
      <c r="D57" s="5"/>
      <c r="E57" s="6"/>
      <c r="F57" s="6"/>
      <c r="G57" s="6"/>
      <c r="H57" s="45">
        <v>2988</v>
      </c>
      <c r="I57" s="45">
        <v>3772</v>
      </c>
      <c r="J57" s="6"/>
      <c r="K57" s="6"/>
      <c r="L57" s="6"/>
      <c r="M57" s="6"/>
    </row>
    <row r="58" ht="14.4" spans="1:13">
      <c r="A58" s="5"/>
      <c r="B58" s="5"/>
      <c r="C58" s="5"/>
      <c r="D58" s="5"/>
      <c r="E58" s="5"/>
      <c r="F58" s="5"/>
      <c r="G58" s="5"/>
      <c r="H58" s="11"/>
      <c r="I58" s="11"/>
      <c r="J58" s="5"/>
      <c r="K58" s="5"/>
      <c r="L58" s="5"/>
      <c r="M58" s="5"/>
    </row>
    <row r="59" ht="23.25" customHeight="1" spans="1:13">
      <c r="A59" s="6"/>
      <c r="B59" s="5"/>
      <c r="C59" s="5"/>
      <c r="D59" s="5"/>
      <c r="E59" s="6"/>
      <c r="F59" s="6"/>
      <c r="G59" s="6"/>
      <c r="H59" s="8"/>
      <c r="I59" s="8"/>
      <c r="J59" s="6"/>
      <c r="K59" s="6"/>
      <c r="L59" s="6"/>
      <c r="M59" s="6"/>
    </row>
    <row r="60" ht="14.4" hidden="1" spans="1:13">
      <c r="A60" s="25">
        <v>86</v>
      </c>
      <c r="B60" s="14"/>
      <c r="C60" s="14"/>
      <c r="D60" s="14"/>
      <c r="E60" s="26">
        <v>1457</v>
      </c>
      <c r="F60" s="26">
        <v>1517</v>
      </c>
      <c r="G60" s="26">
        <v>2350</v>
      </c>
      <c r="H60" s="27">
        <v>2988</v>
      </c>
      <c r="I60" s="27">
        <v>3772</v>
      </c>
      <c r="J60" s="26">
        <v>4338</v>
      </c>
      <c r="K60" s="26">
        <v>6238</v>
      </c>
      <c r="L60" s="26">
        <v>7284</v>
      </c>
      <c r="M60" s="26">
        <v>9669</v>
      </c>
    </row>
    <row r="61" customHeight="1" spans="1:13">
      <c r="A61" s="19"/>
      <c r="B61" s="19"/>
      <c r="C61" s="19"/>
      <c r="D61" s="19"/>
      <c r="E61" s="19"/>
      <c r="F61" s="19"/>
      <c r="G61" s="19"/>
      <c r="H61" s="21"/>
      <c r="I61" s="21"/>
      <c r="J61" s="19"/>
      <c r="K61" s="19"/>
      <c r="L61" s="19"/>
      <c r="M61" s="19"/>
    </row>
  </sheetData>
  <mergeCells count="4">
    <mergeCell ref="A1:A3"/>
    <mergeCell ref="B56:B60"/>
    <mergeCell ref="C56:C60"/>
    <mergeCell ref="D56:D60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8"/>
  <sheetViews>
    <sheetView topLeftCell="C115" workbookViewId="0">
      <selection activeCell="M142" sqref="M142"/>
    </sheetView>
  </sheetViews>
  <sheetFormatPr defaultColWidth="11.4259259259259" defaultRowHeight="14.4"/>
  <cols>
    <col min="1" max="1" width="17" customWidth="1"/>
    <col min="2" max="2" width="15.1388888888889" customWidth="1"/>
    <col min="3" max="3" width="55.4259259259259" customWidth="1"/>
    <col min="4" max="4" width="12.1388888888889" customWidth="1"/>
    <col min="5" max="7" width="12.712962962963" customWidth="1"/>
    <col min="8" max="9" width="12.712962962963" style="1" customWidth="1"/>
    <col min="10" max="13" width="12.712962962963" customWidth="1"/>
  </cols>
  <sheetData>
    <row r="1" ht="12.95" customHeight="1" spans="1:13">
      <c r="A1" s="37" t="s">
        <v>70</v>
      </c>
      <c r="B1" s="37" t="s">
        <v>71</v>
      </c>
      <c r="C1" s="37" t="s">
        <v>72</v>
      </c>
      <c r="D1" s="37" t="s">
        <v>73</v>
      </c>
      <c r="E1" s="38" t="s">
        <v>74</v>
      </c>
      <c r="F1" s="39"/>
      <c r="G1" s="39"/>
      <c r="H1" s="39"/>
      <c r="I1" s="39"/>
      <c r="J1" s="39"/>
      <c r="K1" s="39"/>
      <c r="L1" s="39"/>
      <c r="M1" s="40"/>
    </row>
    <row r="2" ht="12.95" customHeight="1" spans="1:13">
      <c r="A2" s="30" t="s">
        <v>75</v>
      </c>
      <c r="B2" s="30" t="s">
        <v>76</v>
      </c>
      <c r="C2" s="30"/>
      <c r="D2" s="30" t="s">
        <v>77</v>
      </c>
      <c r="E2" s="41" t="s">
        <v>78</v>
      </c>
      <c r="F2" s="42"/>
      <c r="G2" s="42"/>
      <c r="H2" s="42"/>
      <c r="I2" s="42"/>
      <c r="J2" s="42"/>
      <c r="K2" s="42"/>
      <c r="L2" s="42"/>
      <c r="M2" s="43"/>
    </row>
    <row r="3" ht="12.95" customHeight="1" spans="1:13">
      <c r="A3" s="30"/>
      <c r="B3" s="30"/>
      <c r="C3" s="30"/>
      <c r="D3" s="41"/>
      <c r="E3" s="35">
        <v>2009</v>
      </c>
      <c r="F3" s="35">
        <v>2010</v>
      </c>
      <c r="G3" s="35">
        <v>2011</v>
      </c>
      <c r="H3" s="35">
        <v>2012</v>
      </c>
      <c r="I3" s="35">
        <v>2013</v>
      </c>
      <c r="J3" s="35">
        <v>2014</v>
      </c>
      <c r="K3" s="35">
        <v>2015</v>
      </c>
      <c r="L3" s="35">
        <v>2016</v>
      </c>
      <c r="M3" s="35">
        <v>2017</v>
      </c>
    </row>
    <row r="4" ht="12.95" customHeight="1" spans="1:13">
      <c r="A4" s="30" t="s">
        <v>79</v>
      </c>
      <c r="B4" s="44"/>
      <c r="C4" s="30"/>
      <c r="D4" s="6"/>
      <c r="E4" s="30" t="s">
        <v>80</v>
      </c>
      <c r="F4" s="30" t="s">
        <v>28</v>
      </c>
      <c r="G4" s="30" t="s">
        <v>81</v>
      </c>
      <c r="H4" s="30" t="s">
        <v>30</v>
      </c>
      <c r="I4" s="30" t="s">
        <v>31</v>
      </c>
      <c r="J4" s="30" t="s">
        <v>32</v>
      </c>
      <c r="K4" s="30" t="s">
        <v>33</v>
      </c>
      <c r="L4" s="30" t="s">
        <v>34</v>
      </c>
      <c r="M4" s="30" t="s">
        <v>35</v>
      </c>
    </row>
    <row r="5" ht="12.95" customHeight="1" spans="1:13">
      <c r="A5" s="31"/>
      <c r="B5" s="31"/>
      <c r="C5" s="34"/>
      <c r="D5" s="31"/>
      <c r="E5" s="34" t="s">
        <v>82</v>
      </c>
      <c r="F5" s="34"/>
      <c r="G5" s="34" t="s">
        <v>82</v>
      </c>
      <c r="H5" s="34"/>
      <c r="I5" s="34"/>
      <c r="J5" s="34"/>
      <c r="K5" s="34"/>
      <c r="L5" s="34"/>
      <c r="M5" s="34"/>
    </row>
    <row r="6" ht="12.95" customHeight="1" spans="1:13">
      <c r="A6" s="19"/>
      <c r="B6" s="20" t="s">
        <v>83</v>
      </c>
      <c r="C6" s="36" t="s">
        <v>84</v>
      </c>
      <c r="D6" s="19"/>
      <c r="E6" s="19"/>
      <c r="F6" s="19"/>
      <c r="G6" s="19"/>
      <c r="H6" s="21"/>
      <c r="I6" s="21"/>
      <c r="J6" s="19"/>
      <c r="K6" s="19"/>
      <c r="L6" s="19"/>
      <c r="M6" s="19"/>
    </row>
    <row r="7" ht="12.95" customHeight="1" spans="1:13">
      <c r="A7" s="19"/>
      <c r="B7" s="19"/>
      <c r="C7" s="20" t="s">
        <v>85</v>
      </c>
      <c r="D7" s="19"/>
      <c r="E7" s="19"/>
      <c r="F7" s="19"/>
      <c r="G7" s="19"/>
      <c r="H7" s="21"/>
      <c r="I7" s="21"/>
      <c r="J7" s="19"/>
      <c r="K7" s="19"/>
      <c r="L7" s="19"/>
      <c r="M7" s="19"/>
    </row>
    <row r="8" ht="12.95" customHeight="1" spans="1:13">
      <c r="A8" s="22">
        <v>1</v>
      </c>
      <c r="B8" s="19"/>
      <c r="C8" s="19" t="s">
        <v>86</v>
      </c>
      <c r="D8" s="19" t="s">
        <v>39</v>
      </c>
      <c r="E8" s="19"/>
      <c r="F8" s="19"/>
      <c r="G8" s="24">
        <v>8125</v>
      </c>
      <c r="H8" s="23">
        <v>9569</v>
      </c>
      <c r="I8" s="23">
        <v>11013</v>
      </c>
      <c r="J8" s="24">
        <v>13850</v>
      </c>
      <c r="K8" s="24">
        <v>16463</v>
      </c>
      <c r="L8" s="24">
        <v>21500</v>
      </c>
      <c r="M8" s="19"/>
    </row>
    <row r="9" ht="12.95" customHeight="1" spans="1:13">
      <c r="A9" s="19"/>
      <c r="B9" s="19"/>
      <c r="C9" s="19"/>
      <c r="D9" s="19"/>
      <c r="E9" s="19"/>
      <c r="F9" s="19"/>
      <c r="G9" s="19"/>
      <c r="H9" s="21"/>
      <c r="I9" s="21"/>
      <c r="J9" s="19"/>
      <c r="K9" s="19"/>
      <c r="L9" s="19"/>
      <c r="M9" s="19"/>
    </row>
    <row r="10" ht="12.95" customHeight="1" spans="1:13">
      <c r="A10" s="22">
        <v>2</v>
      </c>
      <c r="B10" s="19"/>
      <c r="C10" s="19" t="s">
        <v>87</v>
      </c>
      <c r="D10" s="19" t="s">
        <v>39</v>
      </c>
      <c r="E10" s="19"/>
      <c r="F10" s="19"/>
      <c r="G10" s="19"/>
      <c r="H10" s="21"/>
      <c r="I10" s="21"/>
      <c r="J10" s="19"/>
      <c r="K10" s="19"/>
      <c r="L10" s="24">
        <v>25658</v>
      </c>
      <c r="M10" s="19"/>
    </row>
    <row r="11" ht="12.95" customHeight="1" spans="1:13">
      <c r="A11" s="19"/>
      <c r="B11" s="19"/>
      <c r="C11" s="19"/>
      <c r="D11" s="19"/>
      <c r="E11" s="19"/>
      <c r="F11" s="19"/>
      <c r="G11" s="19"/>
      <c r="H11" s="21"/>
      <c r="I11" s="21"/>
      <c r="J11" s="19"/>
      <c r="K11" s="19"/>
      <c r="L11" s="19"/>
      <c r="M11" s="19"/>
    </row>
    <row r="12" ht="12.95" customHeight="1" spans="1:13">
      <c r="A12" s="22">
        <v>3</v>
      </c>
      <c r="B12" s="19"/>
      <c r="C12" s="19" t="s">
        <v>88</v>
      </c>
      <c r="D12" s="19" t="s">
        <v>39</v>
      </c>
      <c r="E12" s="19"/>
      <c r="F12" s="19"/>
      <c r="G12" s="24">
        <v>6150</v>
      </c>
      <c r="H12" s="21"/>
      <c r="I12" s="21"/>
      <c r="J12" s="19"/>
      <c r="K12" s="19"/>
      <c r="L12" s="19"/>
      <c r="M12" s="19"/>
    </row>
    <row r="13" ht="12.95" customHeight="1" spans="1:13">
      <c r="A13" s="19"/>
      <c r="B13" s="19"/>
      <c r="C13" s="19"/>
      <c r="D13" s="19"/>
      <c r="E13" s="19"/>
      <c r="F13" s="19"/>
      <c r="G13" s="19"/>
      <c r="H13" s="21"/>
      <c r="I13" s="21"/>
      <c r="J13" s="19"/>
      <c r="K13" s="19"/>
      <c r="L13" s="19"/>
      <c r="M13" s="19"/>
    </row>
    <row r="14" ht="12.95" customHeight="1" spans="1:13">
      <c r="A14" s="22">
        <v>4</v>
      </c>
      <c r="B14" s="19"/>
      <c r="C14" s="19" t="s">
        <v>89</v>
      </c>
      <c r="D14" s="19" t="s">
        <v>39</v>
      </c>
      <c r="E14" s="19"/>
      <c r="F14" s="19"/>
      <c r="G14" s="19"/>
      <c r="H14" s="23">
        <v>8350</v>
      </c>
      <c r="I14" s="23">
        <v>9625</v>
      </c>
      <c r="J14" s="24">
        <v>12225</v>
      </c>
      <c r="K14" s="24">
        <v>14575</v>
      </c>
      <c r="L14" s="19"/>
      <c r="M14" s="24">
        <v>70400</v>
      </c>
    </row>
    <row r="15" ht="12.95" customHeight="1" spans="1:13">
      <c r="A15" s="19"/>
      <c r="B15" s="19"/>
      <c r="C15" s="19"/>
      <c r="D15" s="19"/>
      <c r="E15" s="19"/>
      <c r="F15" s="19"/>
      <c r="G15" s="19"/>
      <c r="H15" s="21"/>
      <c r="I15" s="21"/>
      <c r="J15" s="19"/>
      <c r="K15" s="19"/>
      <c r="L15" s="19"/>
      <c r="M15" s="19"/>
    </row>
    <row r="16" ht="12.95" customHeight="1" spans="1:13">
      <c r="A16" s="22">
        <v>5</v>
      </c>
      <c r="B16" s="19"/>
      <c r="C16" s="19" t="s">
        <v>90</v>
      </c>
      <c r="D16" s="19" t="s">
        <v>39</v>
      </c>
      <c r="E16" s="19"/>
      <c r="F16" s="19"/>
      <c r="G16" s="24">
        <v>9650</v>
      </c>
      <c r="H16" s="21"/>
      <c r="I16" s="21"/>
      <c r="J16" s="19"/>
      <c r="K16" s="19"/>
      <c r="L16" s="19"/>
      <c r="M16" s="19"/>
    </row>
    <row r="17" ht="12.95" customHeight="1" spans="1:13">
      <c r="A17" s="19"/>
      <c r="B17" s="19"/>
      <c r="C17" s="19"/>
      <c r="D17" s="19"/>
      <c r="E17" s="19"/>
      <c r="F17" s="19"/>
      <c r="G17" s="19"/>
      <c r="H17" s="21"/>
      <c r="I17" s="21"/>
      <c r="J17" s="19"/>
      <c r="K17" s="19"/>
      <c r="L17" s="19"/>
      <c r="M17" s="19"/>
    </row>
    <row r="18" ht="12.95" customHeight="1" spans="1:13">
      <c r="A18" s="22">
        <v>6</v>
      </c>
      <c r="B18" s="19"/>
      <c r="C18" s="19" t="s">
        <v>91</v>
      </c>
      <c r="D18" s="19" t="s">
        <v>39</v>
      </c>
      <c r="E18" s="19"/>
      <c r="F18" s="19"/>
      <c r="G18" s="19"/>
      <c r="H18" s="21"/>
      <c r="I18" s="23">
        <v>12275</v>
      </c>
      <c r="J18" s="24">
        <v>15625</v>
      </c>
      <c r="K18" s="24">
        <v>18075</v>
      </c>
      <c r="L18" s="24">
        <v>23175</v>
      </c>
      <c r="M18" s="19"/>
    </row>
    <row r="19" ht="12.95" customHeight="1" spans="1:13">
      <c r="A19" s="19"/>
      <c r="B19" s="19"/>
      <c r="C19" s="19"/>
      <c r="D19" s="19"/>
      <c r="E19" s="19"/>
      <c r="F19" s="19"/>
      <c r="G19" s="19"/>
      <c r="H19" s="21"/>
      <c r="I19" s="21"/>
      <c r="J19" s="19"/>
      <c r="K19" s="19"/>
      <c r="L19" s="19"/>
      <c r="M19" s="19"/>
    </row>
    <row r="20" ht="12.95" customHeight="1" spans="1:13">
      <c r="A20" s="22">
        <v>7</v>
      </c>
      <c r="B20" s="19"/>
      <c r="C20" s="19" t="s">
        <v>92</v>
      </c>
      <c r="D20" s="19" t="s">
        <v>39</v>
      </c>
      <c r="E20" s="19"/>
      <c r="F20" s="19"/>
      <c r="G20" s="19"/>
      <c r="H20" s="21"/>
      <c r="I20" s="21"/>
      <c r="J20" s="24">
        <v>12225</v>
      </c>
      <c r="K20" s="24">
        <v>14675</v>
      </c>
      <c r="L20" s="24">
        <v>18975</v>
      </c>
      <c r="M20" s="19"/>
    </row>
    <row r="21" ht="12.95" customHeight="1" spans="1:13">
      <c r="A21" s="19"/>
      <c r="B21" s="19"/>
      <c r="C21" s="19"/>
      <c r="D21" s="19"/>
      <c r="E21" s="19"/>
      <c r="F21" s="19"/>
      <c r="G21" s="19"/>
      <c r="H21" s="21"/>
      <c r="I21" s="21"/>
      <c r="J21" s="19"/>
      <c r="K21" s="19"/>
      <c r="L21" s="19"/>
      <c r="M21" s="19"/>
    </row>
    <row r="22" ht="12.95" customHeight="1" spans="1:13">
      <c r="A22" s="22">
        <v>8</v>
      </c>
      <c r="B22" s="19"/>
      <c r="C22" s="19" t="s">
        <v>93</v>
      </c>
      <c r="D22" s="19" t="s">
        <v>39</v>
      </c>
      <c r="E22" s="19"/>
      <c r="F22" s="19"/>
      <c r="G22" s="19"/>
      <c r="H22" s="23">
        <v>11025</v>
      </c>
      <c r="I22" s="23">
        <v>12275</v>
      </c>
      <c r="J22" s="24">
        <v>15625</v>
      </c>
      <c r="K22" s="24">
        <v>18200</v>
      </c>
      <c r="L22" s="24">
        <v>23525</v>
      </c>
      <c r="M22" s="19"/>
    </row>
    <row r="23" ht="12.95" customHeight="1" spans="1:13">
      <c r="A23" s="19"/>
      <c r="B23" s="19"/>
      <c r="C23" s="19"/>
      <c r="D23" s="19"/>
      <c r="E23" s="19"/>
      <c r="F23" s="19"/>
      <c r="G23" s="19"/>
      <c r="H23" s="21"/>
      <c r="I23" s="21"/>
      <c r="J23" s="19"/>
      <c r="K23" s="19"/>
      <c r="L23" s="19"/>
      <c r="M23" s="19"/>
    </row>
    <row r="24" ht="12.95" customHeight="1" spans="1:13">
      <c r="A24" s="22">
        <v>9</v>
      </c>
      <c r="B24" s="19"/>
      <c r="C24" s="19" t="s">
        <v>94</v>
      </c>
      <c r="D24" s="19" t="s">
        <v>39</v>
      </c>
      <c r="E24" s="19"/>
      <c r="F24" s="19"/>
      <c r="G24" s="19"/>
      <c r="H24" s="21"/>
      <c r="I24" s="23">
        <v>43575</v>
      </c>
      <c r="J24" s="24">
        <v>58450</v>
      </c>
      <c r="K24" s="24">
        <v>66200</v>
      </c>
      <c r="L24" s="24">
        <v>73400</v>
      </c>
      <c r="M24" s="19"/>
    </row>
    <row r="25" ht="12.95" customHeight="1" spans="1:13">
      <c r="A25" s="19"/>
      <c r="B25" s="19"/>
      <c r="C25" s="19"/>
      <c r="D25" s="19"/>
      <c r="E25" s="19"/>
      <c r="F25" s="19"/>
      <c r="G25" s="19"/>
      <c r="H25" s="21"/>
      <c r="I25" s="21"/>
      <c r="J25" s="19"/>
      <c r="K25" s="19"/>
      <c r="L25" s="19"/>
      <c r="M25" s="19"/>
    </row>
    <row r="26" ht="12.95" customHeight="1" spans="1:13">
      <c r="A26" s="22">
        <v>10</v>
      </c>
      <c r="B26" s="19"/>
      <c r="C26" s="19" t="s">
        <v>95</v>
      </c>
      <c r="D26" s="19" t="s">
        <v>39</v>
      </c>
      <c r="E26" s="19"/>
      <c r="F26" s="19"/>
      <c r="G26" s="19"/>
      <c r="H26" s="21"/>
      <c r="I26" s="21"/>
      <c r="J26" s="24">
        <v>19050</v>
      </c>
      <c r="K26" s="24">
        <v>24000</v>
      </c>
      <c r="L26" s="24">
        <v>30225</v>
      </c>
      <c r="M26" s="19"/>
    </row>
    <row r="27" ht="12.95" customHeight="1" spans="1:13">
      <c r="A27" s="19"/>
      <c r="B27" s="19"/>
      <c r="C27" s="19"/>
      <c r="D27" s="19"/>
      <c r="E27" s="19"/>
      <c r="F27" s="19"/>
      <c r="G27" s="19"/>
      <c r="H27" s="21"/>
      <c r="I27" s="21"/>
      <c r="J27" s="19"/>
      <c r="K27" s="19"/>
      <c r="L27" s="19"/>
      <c r="M27" s="19"/>
    </row>
    <row r="28" ht="12.95" customHeight="1" spans="1:13">
      <c r="A28" s="22">
        <v>11</v>
      </c>
      <c r="B28" s="19"/>
      <c r="C28" s="19" t="s">
        <v>96</v>
      </c>
      <c r="D28" s="19" t="s">
        <v>39</v>
      </c>
      <c r="E28" s="19"/>
      <c r="F28" s="19"/>
      <c r="G28" s="19"/>
      <c r="H28" s="21"/>
      <c r="I28" s="21"/>
      <c r="J28" s="19"/>
      <c r="K28" s="19"/>
      <c r="L28" s="19"/>
      <c r="M28" s="24">
        <v>73363</v>
      </c>
    </row>
    <row r="29" ht="12.95" customHeight="1" spans="1:13">
      <c r="A29" s="19"/>
      <c r="B29" s="19"/>
      <c r="C29" s="19"/>
      <c r="D29" s="19"/>
      <c r="E29" s="19"/>
      <c r="F29" s="19"/>
      <c r="G29" s="19"/>
      <c r="H29" s="21"/>
      <c r="I29" s="21"/>
      <c r="J29" s="19"/>
      <c r="K29" s="19"/>
      <c r="L29" s="19"/>
      <c r="M29" s="19"/>
    </row>
    <row r="30" ht="12.95" customHeight="1" spans="1:13">
      <c r="A30" s="22">
        <v>12</v>
      </c>
      <c r="B30" s="19"/>
      <c r="C30" s="19" t="s">
        <v>97</v>
      </c>
      <c r="D30" s="19" t="s">
        <v>39</v>
      </c>
      <c r="E30" s="19"/>
      <c r="F30" s="19"/>
      <c r="G30" s="24">
        <v>6650</v>
      </c>
      <c r="H30" s="23">
        <v>7975</v>
      </c>
      <c r="I30" s="23">
        <v>12975</v>
      </c>
      <c r="J30" s="19"/>
      <c r="K30" s="19"/>
      <c r="L30" s="19"/>
      <c r="M30" s="19"/>
    </row>
    <row r="31" ht="12.95" customHeight="1" spans="1:13">
      <c r="A31" s="19"/>
      <c r="B31" s="19"/>
      <c r="C31" s="19"/>
      <c r="D31" s="19"/>
      <c r="E31" s="19"/>
      <c r="F31" s="19"/>
      <c r="G31" s="19"/>
      <c r="H31" s="21"/>
      <c r="I31" s="21"/>
      <c r="J31" s="19"/>
      <c r="K31" s="19"/>
      <c r="L31" s="19"/>
      <c r="M31" s="19"/>
    </row>
    <row r="32" ht="12.95" customHeight="1" spans="1:13">
      <c r="A32" s="22">
        <v>13</v>
      </c>
      <c r="B32" s="19"/>
      <c r="C32" s="19" t="s">
        <v>98</v>
      </c>
      <c r="D32" s="19" t="s">
        <v>39</v>
      </c>
      <c r="E32" s="19"/>
      <c r="F32" s="19"/>
      <c r="G32" s="19"/>
      <c r="H32" s="21"/>
      <c r="I32" s="21"/>
      <c r="J32" s="19"/>
      <c r="K32" s="24">
        <v>22225</v>
      </c>
      <c r="L32" s="19"/>
      <c r="M32" s="19"/>
    </row>
    <row r="33" ht="12.95" customHeight="1" spans="1:13">
      <c r="A33" s="19"/>
      <c r="B33" s="19"/>
      <c r="C33" s="19"/>
      <c r="D33" s="19"/>
      <c r="E33" s="19"/>
      <c r="F33" s="19"/>
      <c r="G33" s="19"/>
      <c r="H33" s="21"/>
      <c r="I33" s="21"/>
      <c r="J33" s="19"/>
      <c r="K33" s="19"/>
      <c r="L33" s="19"/>
      <c r="M33" s="19"/>
    </row>
    <row r="34" ht="12.95" customHeight="1" spans="1:13">
      <c r="A34" s="22">
        <v>14</v>
      </c>
      <c r="B34" s="19"/>
      <c r="C34" s="19" t="s">
        <v>99</v>
      </c>
      <c r="D34" s="19" t="s">
        <v>39</v>
      </c>
      <c r="E34" s="19"/>
      <c r="F34" s="19"/>
      <c r="G34" s="19"/>
      <c r="H34" s="21"/>
      <c r="I34" s="23">
        <v>9175</v>
      </c>
      <c r="J34" s="19"/>
      <c r="K34" s="19"/>
      <c r="L34" s="19"/>
      <c r="M34" s="19"/>
    </row>
    <row r="35" ht="12.95" customHeight="1" spans="1:13">
      <c r="A35" s="19"/>
      <c r="B35" s="19"/>
      <c r="C35" s="19"/>
      <c r="D35" s="19"/>
      <c r="E35" s="19"/>
      <c r="F35" s="19"/>
      <c r="G35" s="19"/>
      <c r="H35" s="21"/>
      <c r="I35" s="21"/>
      <c r="J35" s="19"/>
      <c r="K35" s="19"/>
      <c r="L35" s="19"/>
      <c r="M35" s="19"/>
    </row>
    <row r="36" ht="12.95" customHeight="1" spans="1:13">
      <c r="A36" s="22">
        <v>15</v>
      </c>
      <c r="B36" s="19"/>
      <c r="C36" s="19" t="s">
        <v>100</v>
      </c>
      <c r="D36" s="19" t="s">
        <v>39</v>
      </c>
      <c r="E36" s="19"/>
      <c r="F36" s="19"/>
      <c r="G36" s="19"/>
      <c r="H36" s="23">
        <v>11100</v>
      </c>
      <c r="I36" s="21"/>
      <c r="J36" s="19"/>
      <c r="K36" s="19"/>
      <c r="L36" s="19"/>
      <c r="M36" s="19"/>
    </row>
    <row r="37" ht="12.95" customHeight="1" spans="1:13">
      <c r="A37" s="19"/>
      <c r="B37" s="19"/>
      <c r="C37" s="19"/>
      <c r="D37" s="19"/>
      <c r="E37" s="19"/>
      <c r="F37" s="19"/>
      <c r="G37" s="19"/>
      <c r="H37" s="21"/>
      <c r="I37" s="21"/>
      <c r="J37" s="19"/>
      <c r="K37" s="19"/>
      <c r="L37" s="19"/>
      <c r="M37" s="19"/>
    </row>
    <row r="38" ht="12.95" customHeight="1" spans="1:13">
      <c r="A38" s="22">
        <v>16</v>
      </c>
      <c r="B38" s="19"/>
      <c r="C38" s="19" t="s">
        <v>101</v>
      </c>
      <c r="D38" s="19" t="s">
        <v>39</v>
      </c>
      <c r="E38" s="19"/>
      <c r="F38" s="19"/>
      <c r="G38" s="19"/>
      <c r="H38" s="21"/>
      <c r="I38" s="21"/>
      <c r="J38" s="24">
        <v>15763</v>
      </c>
      <c r="K38" s="24">
        <v>18925</v>
      </c>
      <c r="L38" s="24">
        <v>25125</v>
      </c>
      <c r="M38" s="19"/>
    </row>
    <row r="39" ht="12.95" customHeight="1" spans="1:13">
      <c r="A39" s="19"/>
      <c r="B39" s="19"/>
      <c r="C39" s="19"/>
      <c r="D39" s="19"/>
      <c r="E39" s="19"/>
      <c r="F39" s="19"/>
      <c r="G39" s="19"/>
      <c r="H39" s="21"/>
      <c r="I39" s="21"/>
      <c r="J39" s="19"/>
      <c r="K39" s="19"/>
      <c r="L39" s="19"/>
      <c r="M39" s="19"/>
    </row>
    <row r="40" ht="12.95" customHeight="1" spans="1:13">
      <c r="A40" s="22">
        <v>17</v>
      </c>
      <c r="B40" s="19"/>
      <c r="C40" s="19" t="s">
        <v>102</v>
      </c>
      <c r="D40" s="19" t="s">
        <v>39</v>
      </c>
      <c r="E40" s="19"/>
      <c r="F40" s="19"/>
      <c r="G40" s="24">
        <v>22050</v>
      </c>
      <c r="H40" s="23">
        <v>27325</v>
      </c>
      <c r="I40" s="23">
        <v>30075</v>
      </c>
      <c r="J40" s="24">
        <v>32450</v>
      </c>
      <c r="K40" s="24">
        <v>35350</v>
      </c>
      <c r="L40" s="19"/>
      <c r="M40" s="19"/>
    </row>
    <row r="41" ht="12.95" customHeight="1" spans="1:13">
      <c r="A41" s="19"/>
      <c r="B41" s="19"/>
      <c r="C41" s="19"/>
      <c r="D41" s="19"/>
      <c r="E41" s="19"/>
      <c r="F41" s="19"/>
      <c r="G41" s="19"/>
      <c r="H41" s="21"/>
      <c r="I41" s="21"/>
      <c r="J41" s="19"/>
      <c r="K41" s="19"/>
      <c r="L41" s="19"/>
      <c r="M41" s="19"/>
    </row>
    <row r="42" ht="12.95" customHeight="1" spans="1:13">
      <c r="A42" s="19"/>
      <c r="B42" s="19"/>
      <c r="C42" s="20" t="s">
        <v>103</v>
      </c>
      <c r="D42" s="19"/>
      <c r="E42" s="19"/>
      <c r="F42" s="19"/>
      <c r="G42" s="19"/>
      <c r="H42" s="21"/>
      <c r="I42" s="21"/>
      <c r="J42" s="19"/>
      <c r="K42" s="19"/>
      <c r="L42" s="19"/>
      <c r="M42" s="19"/>
    </row>
    <row r="43" ht="12.95" customHeight="1" spans="1:13">
      <c r="A43" s="22">
        <v>18</v>
      </c>
      <c r="B43" s="19"/>
      <c r="C43" s="19" t="s">
        <v>104</v>
      </c>
      <c r="D43" s="19" t="s">
        <v>39</v>
      </c>
      <c r="E43" s="19"/>
      <c r="F43" s="19"/>
      <c r="G43" s="19"/>
      <c r="H43" s="21"/>
      <c r="I43" s="23">
        <v>28118</v>
      </c>
      <c r="J43" s="24">
        <v>32946</v>
      </c>
      <c r="K43" s="19"/>
      <c r="L43" s="19"/>
      <c r="M43" s="19"/>
    </row>
    <row r="44" ht="12.95" customHeight="1" spans="1:13">
      <c r="A44" s="19"/>
      <c r="B44" s="19"/>
      <c r="C44" s="19"/>
      <c r="D44" s="19"/>
      <c r="E44" s="19"/>
      <c r="F44" s="19"/>
      <c r="G44" s="19"/>
      <c r="H44" s="21"/>
      <c r="I44" s="21"/>
      <c r="J44" s="19"/>
      <c r="K44" s="19"/>
      <c r="L44" s="19"/>
      <c r="M44" s="19"/>
    </row>
    <row r="45" ht="12.95" customHeight="1" spans="1:13">
      <c r="A45" s="22">
        <v>19</v>
      </c>
      <c r="B45" s="19"/>
      <c r="C45" s="19" t="s">
        <v>105</v>
      </c>
      <c r="D45" s="19" t="s">
        <v>39</v>
      </c>
      <c r="E45" s="19"/>
      <c r="F45" s="19"/>
      <c r="G45" s="19"/>
      <c r="H45" s="23">
        <v>28613</v>
      </c>
      <c r="I45" s="21"/>
      <c r="J45" s="19"/>
      <c r="K45" s="19"/>
      <c r="L45" s="19"/>
      <c r="M45" s="19"/>
    </row>
    <row r="46" ht="12.95" customHeight="1" spans="1:13">
      <c r="A46" s="19"/>
      <c r="B46" s="19"/>
      <c r="C46" s="19"/>
      <c r="D46" s="19"/>
      <c r="E46" s="19"/>
      <c r="F46" s="19"/>
      <c r="G46" s="19"/>
      <c r="H46" s="21"/>
      <c r="I46" s="21"/>
      <c r="J46" s="19"/>
      <c r="K46" s="19"/>
      <c r="L46" s="19"/>
      <c r="M46" s="19"/>
    </row>
    <row r="47" ht="12.95" customHeight="1" spans="1:13">
      <c r="A47" s="22">
        <v>20</v>
      </c>
      <c r="B47" s="19"/>
      <c r="C47" s="19" t="s">
        <v>106</v>
      </c>
      <c r="D47" s="19" t="s">
        <v>39</v>
      </c>
      <c r="E47" s="19"/>
      <c r="F47" s="19"/>
      <c r="G47" s="19"/>
      <c r="H47" s="21"/>
      <c r="I47" s="21"/>
      <c r="J47" s="19"/>
      <c r="K47" s="24">
        <v>35925</v>
      </c>
      <c r="L47" s="24">
        <v>39404</v>
      </c>
      <c r="M47" s="19"/>
    </row>
    <row r="48" ht="12.95" customHeight="1" spans="1:13">
      <c r="A48" s="19"/>
      <c r="B48" s="19"/>
      <c r="C48" s="19"/>
      <c r="D48" s="19"/>
      <c r="E48" s="19"/>
      <c r="F48" s="19"/>
      <c r="G48" s="19"/>
      <c r="H48" s="21"/>
      <c r="I48" s="21"/>
      <c r="J48" s="19"/>
      <c r="K48" s="19"/>
      <c r="L48" s="19"/>
      <c r="M48" s="19"/>
    </row>
    <row r="49" ht="12.95" customHeight="1" spans="1:13">
      <c r="A49" s="22">
        <v>21</v>
      </c>
      <c r="B49" s="19"/>
      <c r="C49" s="19" t="s">
        <v>107</v>
      </c>
      <c r="D49" s="19" t="s">
        <v>39</v>
      </c>
      <c r="E49" s="19"/>
      <c r="F49" s="19"/>
      <c r="G49" s="24">
        <v>8250</v>
      </c>
      <c r="H49" s="23">
        <v>10583</v>
      </c>
      <c r="I49" s="23">
        <v>12994</v>
      </c>
      <c r="J49" s="19"/>
      <c r="K49" s="19"/>
      <c r="L49" s="19"/>
      <c r="M49" s="19"/>
    </row>
    <row r="50" ht="12.95" customHeight="1" spans="1:13">
      <c r="A50" s="19"/>
      <c r="B50" s="19"/>
      <c r="C50" s="19"/>
      <c r="D50" s="19"/>
      <c r="E50" s="19"/>
      <c r="F50" s="19"/>
      <c r="G50" s="19"/>
      <c r="H50" s="21"/>
      <c r="I50" s="21"/>
      <c r="J50" s="19"/>
      <c r="K50" s="19"/>
      <c r="L50" s="19"/>
      <c r="M50" s="19"/>
    </row>
    <row r="51" ht="12.95" customHeight="1" spans="1:13">
      <c r="A51" s="22">
        <v>22</v>
      </c>
      <c r="B51" s="19"/>
      <c r="C51" s="19" t="s">
        <v>108</v>
      </c>
      <c r="D51" s="19" t="s">
        <v>39</v>
      </c>
      <c r="E51" s="19"/>
      <c r="F51" s="19"/>
      <c r="G51" s="19"/>
      <c r="H51" s="21"/>
      <c r="I51" s="21"/>
      <c r="J51" s="24">
        <v>18835</v>
      </c>
      <c r="K51" s="24">
        <v>21525</v>
      </c>
      <c r="L51" s="24">
        <v>24338</v>
      </c>
      <c r="M51" s="19"/>
    </row>
    <row r="52" ht="12.95" customHeight="1" spans="1:13">
      <c r="A52" s="19"/>
      <c r="B52" s="19"/>
      <c r="C52" s="19"/>
      <c r="D52" s="19"/>
      <c r="E52" s="19"/>
      <c r="F52" s="19"/>
      <c r="G52" s="19"/>
      <c r="H52" s="21"/>
      <c r="I52" s="21"/>
      <c r="J52" s="19"/>
      <c r="K52" s="19"/>
      <c r="L52" s="19"/>
      <c r="M52" s="19"/>
    </row>
    <row r="53" ht="12.95" customHeight="1" spans="1:13">
      <c r="A53" s="22">
        <v>23</v>
      </c>
      <c r="B53" s="19"/>
      <c r="C53" s="19" t="s">
        <v>109</v>
      </c>
      <c r="D53" s="19" t="s">
        <v>39</v>
      </c>
      <c r="E53" s="19"/>
      <c r="F53" s="19"/>
      <c r="G53" s="24">
        <v>20625</v>
      </c>
      <c r="H53" s="21"/>
      <c r="I53" s="21"/>
      <c r="J53" s="19"/>
      <c r="K53" s="19"/>
      <c r="L53" s="19"/>
      <c r="M53" s="19"/>
    </row>
    <row r="54" ht="12.95" customHeight="1" spans="1:13">
      <c r="A54" s="19"/>
      <c r="B54" s="19"/>
      <c r="C54" s="19"/>
      <c r="D54" s="19"/>
      <c r="E54" s="19"/>
      <c r="F54" s="19"/>
      <c r="G54" s="19"/>
      <c r="H54" s="21"/>
      <c r="I54" s="21"/>
      <c r="J54" s="19"/>
      <c r="K54" s="19"/>
      <c r="L54" s="19"/>
      <c r="M54" s="19"/>
    </row>
    <row r="55" ht="12.95" customHeight="1" spans="1:13">
      <c r="A55" s="22">
        <v>24</v>
      </c>
      <c r="B55" s="19"/>
      <c r="C55" s="19" t="s">
        <v>110</v>
      </c>
      <c r="D55" s="19" t="s">
        <v>39</v>
      </c>
      <c r="E55" s="19"/>
      <c r="F55" s="19"/>
      <c r="G55" s="24">
        <v>10538</v>
      </c>
      <c r="H55" s="23">
        <v>11344</v>
      </c>
      <c r="I55" s="23">
        <v>12431</v>
      </c>
      <c r="J55" s="24">
        <v>16019</v>
      </c>
      <c r="K55" s="24">
        <v>18500</v>
      </c>
      <c r="L55" s="24">
        <v>24088</v>
      </c>
      <c r="M55" s="19"/>
    </row>
    <row r="56" ht="12.95" customHeight="1" spans="1:13">
      <c r="A56" s="19"/>
      <c r="B56" s="19"/>
      <c r="C56" s="19"/>
      <c r="D56" s="19"/>
      <c r="E56" s="19"/>
      <c r="F56" s="19"/>
      <c r="G56" s="19"/>
      <c r="H56" s="21"/>
      <c r="I56" s="21"/>
      <c r="J56" s="19"/>
      <c r="K56" s="19"/>
      <c r="L56" s="19"/>
      <c r="M56" s="19"/>
    </row>
    <row r="57" ht="12.95" customHeight="1" spans="1:13">
      <c r="A57" s="22">
        <v>25</v>
      </c>
      <c r="B57" s="19"/>
      <c r="C57" s="19" t="s">
        <v>111</v>
      </c>
      <c r="D57" s="19" t="s">
        <v>39</v>
      </c>
      <c r="E57" s="19"/>
      <c r="F57" s="19"/>
      <c r="G57" s="19"/>
      <c r="H57" s="21"/>
      <c r="I57" s="21"/>
      <c r="J57" s="19"/>
      <c r="K57" s="19"/>
      <c r="L57" s="19"/>
      <c r="M57" s="24">
        <v>62783</v>
      </c>
    </row>
    <row r="58" ht="12.95" customHeight="1" spans="1:13">
      <c r="A58" s="19"/>
      <c r="B58" s="19"/>
      <c r="C58" s="19"/>
      <c r="D58" s="19"/>
      <c r="E58" s="19"/>
      <c r="F58" s="19"/>
      <c r="G58" s="19"/>
      <c r="H58" s="21"/>
      <c r="I58" s="21"/>
      <c r="J58" s="19"/>
      <c r="K58" s="19"/>
      <c r="L58" s="19"/>
      <c r="M58" s="19"/>
    </row>
    <row r="59" ht="12.95" customHeight="1" spans="1:13">
      <c r="A59" s="22">
        <v>26</v>
      </c>
      <c r="B59" s="19"/>
      <c r="C59" s="19" t="s">
        <v>112</v>
      </c>
      <c r="D59" s="19" t="s">
        <v>39</v>
      </c>
      <c r="E59" s="19"/>
      <c r="F59" s="19"/>
      <c r="G59" s="19"/>
      <c r="H59" s="21"/>
      <c r="I59" s="21"/>
      <c r="J59" s="19"/>
      <c r="K59" s="19"/>
      <c r="L59" s="19"/>
      <c r="M59" s="24">
        <v>46300</v>
      </c>
    </row>
    <row r="60" ht="12.95" customHeight="1" spans="1:13">
      <c r="A60" s="19"/>
      <c r="B60" s="19"/>
      <c r="C60" s="19"/>
      <c r="D60" s="19"/>
      <c r="E60" s="19"/>
      <c r="F60" s="19"/>
      <c r="G60" s="19"/>
      <c r="H60" s="21"/>
      <c r="I60" s="21"/>
      <c r="J60" s="19"/>
      <c r="K60" s="19"/>
      <c r="L60" s="19"/>
      <c r="M60" s="19"/>
    </row>
    <row r="61" ht="12.95" customHeight="1" spans="1:13">
      <c r="A61" s="19"/>
      <c r="B61" s="19"/>
      <c r="C61" s="20" t="s">
        <v>113</v>
      </c>
      <c r="D61" s="19"/>
      <c r="E61" s="19"/>
      <c r="F61" s="19"/>
      <c r="G61" s="19"/>
      <c r="H61" s="21"/>
      <c r="I61" s="21"/>
      <c r="J61" s="19"/>
      <c r="K61" s="19"/>
      <c r="L61" s="19"/>
      <c r="M61" s="19"/>
    </row>
    <row r="62" ht="12.95" customHeight="1" spans="1:13">
      <c r="A62" s="22">
        <v>27</v>
      </c>
      <c r="B62" s="19"/>
      <c r="C62" s="19" t="s">
        <v>114</v>
      </c>
      <c r="D62" s="19" t="s">
        <v>39</v>
      </c>
      <c r="E62" s="19"/>
      <c r="F62" s="19"/>
      <c r="G62" s="19"/>
      <c r="H62" s="23">
        <v>44975</v>
      </c>
      <c r="I62" s="23">
        <v>48900</v>
      </c>
      <c r="J62" s="24">
        <v>53325</v>
      </c>
      <c r="K62" s="24">
        <v>59050</v>
      </c>
      <c r="L62" s="24">
        <v>64250</v>
      </c>
      <c r="M62" s="19"/>
    </row>
    <row r="63" ht="12.95" customHeight="1" spans="1:13">
      <c r="A63" s="19"/>
      <c r="B63" s="19"/>
      <c r="C63" s="19"/>
      <c r="D63" s="19"/>
      <c r="E63" s="19"/>
      <c r="F63" s="19"/>
      <c r="G63" s="19"/>
      <c r="H63" s="21"/>
      <c r="I63" s="21"/>
      <c r="J63" s="19"/>
      <c r="K63" s="19"/>
      <c r="L63" s="19"/>
      <c r="M63" s="19"/>
    </row>
    <row r="64" ht="12.95" customHeight="1" spans="1:13">
      <c r="A64" s="22">
        <v>28</v>
      </c>
      <c r="B64" s="19"/>
      <c r="C64" s="19" t="s">
        <v>115</v>
      </c>
      <c r="D64" s="19" t="s">
        <v>39</v>
      </c>
      <c r="E64" s="19"/>
      <c r="F64" s="19"/>
      <c r="G64" s="24">
        <v>11800</v>
      </c>
      <c r="H64" s="23">
        <v>13180</v>
      </c>
      <c r="I64" s="23">
        <v>14410</v>
      </c>
      <c r="J64" s="24">
        <v>19345</v>
      </c>
      <c r="K64" s="24">
        <v>23531</v>
      </c>
      <c r="L64" s="24">
        <v>29206</v>
      </c>
      <c r="M64" s="19"/>
    </row>
    <row r="65" ht="12.95" customHeight="1" spans="1:13">
      <c r="A65" s="19"/>
      <c r="B65" s="19"/>
      <c r="C65" s="19"/>
      <c r="D65" s="19"/>
      <c r="E65" s="19"/>
      <c r="F65" s="19"/>
      <c r="G65" s="19"/>
      <c r="H65" s="21"/>
      <c r="I65" s="21"/>
      <c r="J65" s="19"/>
      <c r="K65" s="19"/>
      <c r="L65" s="19"/>
      <c r="M65" s="19"/>
    </row>
    <row r="66" ht="12.95" customHeight="1" spans="1:13">
      <c r="A66" s="22">
        <v>29</v>
      </c>
      <c r="B66" s="19"/>
      <c r="C66" s="19" t="s">
        <v>116</v>
      </c>
      <c r="D66" s="19" t="s">
        <v>39</v>
      </c>
      <c r="E66" s="19"/>
      <c r="F66" s="19"/>
      <c r="G66" s="19"/>
      <c r="H66" s="21"/>
      <c r="I66" s="21"/>
      <c r="J66" s="19"/>
      <c r="K66" s="19"/>
      <c r="L66" s="19"/>
      <c r="M66" s="24">
        <v>72561</v>
      </c>
    </row>
    <row r="67" ht="12.95" customHeight="1" spans="1:13">
      <c r="A67" s="19"/>
      <c r="B67" s="19"/>
      <c r="C67" s="19"/>
      <c r="D67" s="19"/>
      <c r="E67" s="19"/>
      <c r="F67" s="19"/>
      <c r="G67" s="19"/>
      <c r="H67" s="21"/>
      <c r="I67" s="21"/>
      <c r="J67" s="19"/>
      <c r="K67" s="19"/>
      <c r="L67" s="19"/>
      <c r="M67" s="19"/>
    </row>
    <row r="68" ht="12.95" customHeight="1" spans="1:13">
      <c r="A68" s="22">
        <v>30</v>
      </c>
      <c r="B68" s="19"/>
      <c r="C68" s="19" t="s">
        <v>117</v>
      </c>
      <c r="D68" s="19" t="s">
        <v>39</v>
      </c>
      <c r="E68" s="19"/>
      <c r="F68" s="19"/>
      <c r="G68" s="19"/>
      <c r="H68" s="23">
        <v>7763</v>
      </c>
      <c r="I68" s="23">
        <v>8438</v>
      </c>
      <c r="J68" s="24">
        <v>14625</v>
      </c>
      <c r="K68" s="24">
        <v>18475</v>
      </c>
      <c r="L68" s="19"/>
      <c r="M68" s="19"/>
    </row>
    <row r="69" ht="12.95" customHeight="1" spans="1:13">
      <c r="A69" s="19"/>
      <c r="B69" s="19"/>
      <c r="C69" s="19"/>
      <c r="D69" s="19"/>
      <c r="E69" s="19"/>
      <c r="F69" s="19"/>
      <c r="G69" s="19"/>
      <c r="H69" s="21"/>
      <c r="I69" s="21"/>
      <c r="J69" s="19"/>
      <c r="K69" s="19"/>
      <c r="L69" s="19"/>
      <c r="M69" s="19"/>
    </row>
    <row r="70" ht="12.95" customHeight="1" spans="1:13">
      <c r="A70" s="22">
        <v>31</v>
      </c>
      <c r="B70" s="19"/>
      <c r="C70" s="19" t="s">
        <v>118</v>
      </c>
      <c r="D70" s="19" t="s">
        <v>39</v>
      </c>
      <c r="E70" s="19"/>
      <c r="F70" s="19"/>
      <c r="G70" s="19"/>
      <c r="H70" s="23">
        <v>27250</v>
      </c>
      <c r="I70" s="23">
        <v>27775</v>
      </c>
      <c r="J70" s="24">
        <v>28625</v>
      </c>
      <c r="K70" s="19"/>
      <c r="L70" s="19"/>
      <c r="M70" s="19"/>
    </row>
    <row r="71" ht="12.95" customHeight="1" spans="1:13">
      <c r="A71" s="19"/>
      <c r="B71" s="19"/>
      <c r="C71" s="19"/>
      <c r="D71" s="19"/>
      <c r="E71" s="19"/>
      <c r="F71" s="19"/>
      <c r="G71" s="19"/>
      <c r="H71" s="21"/>
      <c r="I71" s="21"/>
      <c r="J71" s="19"/>
      <c r="K71" s="19"/>
      <c r="L71" s="19"/>
      <c r="M71" s="19"/>
    </row>
    <row r="72" ht="12.95" customHeight="1" spans="1:13">
      <c r="A72" s="19"/>
      <c r="B72" s="19"/>
      <c r="C72" s="20" t="s">
        <v>119</v>
      </c>
      <c r="D72" s="19"/>
      <c r="E72" s="19"/>
      <c r="F72" s="19"/>
      <c r="G72" s="19"/>
      <c r="H72" s="21"/>
      <c r="I72" s="21"/>
      <c r="J72" s="19"/>
      <c r="K72" s="19"/>
      <c r="L72" s="19"/>
      <c r="M72" s="19"/>
    </row>
    <row r="73" ht="12.95" customHeight="1" spans="1:13">
      <c r="A73" s="22">
        <v>32</v>
      </c>
      <c r="B73" s="19"/>
      <c r="C73" s="19" t="s">
        <v>120</v>
      </c>
      <c r="D73" s="19" t="s">
        <v>39</v>
      </c>
      <c r="E73" s="19"/>
      <c r="F73" s="19"/>
      <c r="G73" s="24">
        <v>11517</v>
      </c>
      <c r="H73" s="23">
        <v>12583</v>
      </c>
      <c r="I73" s="21"/>
      <c r="J73" s="19"/>
      <c r="K73" s="19"/>
      <c r="L73" s="24">
        <v>25683</v>
      </c>
      <c r="M73" s="19"/>
    </row>
    <row r="74" ht="12.95" customHeight="1" spans="1:13">
      <c r="A74" s="19"/>
      <c r="B74" s="19"/>
      <c r="C74" s="19"/>
      <c r="D74" s="19"/>
      <c r="E74" s="19"/>
      <c r="F74" s="19"/>
      <c r="G74" s="19"/>
      <c r="H74" s="21"/>
      <c r="I74" s="21"/>
      <c r="J74" s="19"/>
      <c r="K74" s="19"/>
      <c r="L74" s="19"/>
      <c r="M74" s="19"/>
    </row>
    <row r="75" ht="12.95" customHeight="1" spans="1:13">
      <c r="A75" s="22">
        <v>33</v>
      </c>
      <c r="B75" s="19"/>
      <c r="C75" s="19" t="s">
        <v>121</v>
      </c>
      <c r="D75" s="19" t="s">
        <v>39</v>
      </c>
      <c r="E75" s="19"/>
      <c r="F75" s="19"/>
      <c r="G75" s="19"/>
      <c r="H75" s="21"/>
      <c r="I75" s="23">
        <v>13225</v>
      </c>
      <c r="J75" s="24">
        <v>18000</v>
      </c>
      <c r="K75" s="24">
        <v>20800</v>
      </c>
      <c r="L75" s="19"/>
      <c r="M75" s="19"/>
    </row>
    <row r="76" ht="12.95" customHeight="1" spans="1:13">
      <c r="A76" s="19"/>
      <c r="B76" s="19"/>
      <c r="C76" s="19"/>
      <c r="D76" s="19"/>
      <c r="E76" s="19"/>
      <c r="F76" s="19"/>
      <c r="G76" s="19"/>
      <c r="H76" s="21"/>
      <c r="I76" s="21"/>
      <c r="J76" s="19"/>
      <c r="K76" s="19"/>
      <c r="L76" s="19"/>
      <c r="M76" s="19"/>
    </row>
    <row r="77" ht="12.95" customHeight="1" spans="1:13">
      <c r="A77" s="22">
        <v>34</v>
      </c>
      <c r="B77" s="19"/>
      <c r="C77" s="19" t="s">
        <v>122</v>
      </c>
      <c r="D77" s="19" t="s">
        <v>39</v>
      </c>
      <c r="E77" s="19"/>
      <c r="F77" s="19"/>
      <c r="G77" s="19"/>
      <c r="H77" s="23">
        <v>28388</v>
      </c>
      <c r="I77" s="23">
        <v>32213</v>
      </c>
      <c r="J77" s="24">
        <v>34025</v>
      </c>
      <c r="K77" s="24">
        <v>39275</v>
      </c>
      <c r="L77" s="24">
        <v>44075</v>
      </c>
      <c r="M77" s="19"/>
    </row>
    <row r="78" ht="12.95" customHeight="1" spans="1:13">
      <c r="A78" s="19"/>
      <c r="B78" s="19"/>
      <c r="C78" s="19"/>
      <c r="D78" s="19"/>
      <c r="E78" s="19"/>
      <c r="F78" s="19"/>
      <c r="G78" s="19"/>
      <c r="H78" s="21"/>
      <c r="I78" s="21"/>
      <c r="J78" s="19"/>
      <c r="K78" s="19"/>
      <c r="L78" s="19"/>
      <c r="M78" s="19"/>
    </row>
    <row r="79" ht="12.95" customHeight="1" spans="1:13">
      <c r="A79" s="22">
        <v>35</v>
      </c>
      <c r="B79" s="19"/>
      <c r="C79" s="19" t="s">
        <v>123</v>
      </c>
      <c r="D79" s="19" t="s">
        <v>39</v>
      </c>
      <c r="E79" s="19"/>
      <c r="F79" s="19"/>
      <c r="G79" s="19"/>
      <c r="H79" s="21"/>
      <c r="I79" s="23">
        <v>31575</v>
      </c>
      <c r="J79" s="24">
        <v>32675</v>
      </c>
      <c r="K79" s="24">
        <v>36250</v>
      </c>
      <c r="L79" s="24">
        <v>40650</v>
      </c>
      <c r="M79" s="19"/>
    </row>
    <row r="80" ht="12.95" customHeight="1" spans="1:13">
      <c r="A80" s="19"/>
      <c r="B80" s="19"/>
      <c r="C80" s="19"/>
      <c r="D80" s="19"/>
      <c r="E80" s="19"/>
      <c r="F80" s="19"/>
      <c r="G80" s="19"/>
      <c r="H80" s="21"/>
      <c r="I80" s="21"/>
      <c r="J80" s="19"/>
      <c r="K80" s="19"/>
      <c r="L80" s="19"/>
      <c r="M80" s="19"/>
    </row>
    <row r="81" ht="12.95" customHeight="1" spans="1:13">
      <c r="A81" s="22">
        <v>36</v>
      </c>
      <c r="B81" s="19"/>
      <c r="C81" s="19" t="s">
        <v>124</v>
      </c>
      <c r="D81" s="19" t="s">
        <v>39</v>
      </c>
      <c r="E81" s="19"/>
      <c r="F81" s="19"/>
      <c r="G81" s="19"/>
      <c r="H81" s="21"/>
      <c r="I81" s="21"/>
      <c r="J81" s="19"/>
      <c r="K81" s="19"/>
      <c r="L81" s="19"/>
      <c r="M81" s="24">
        <v>104092</v>
      </c>
    </row>
    <row r="82" ht="12.95" customHeight="1" spans="1:13">
      <c r="A82" s="19"/>
      <c r="B82" s="19"/>
      <c r="C82" s="19"/>
      <c r="D82" s="19"/>
      <c r="E82" s="19"/>
      <c r="F82" s="19"/>
      <c r="G82" s="19"/>
      <c r="H82" s="21"/>
      <c r="I82" s="21"/>
      <c r="J82" s="19"/>
      <c r="K82" s="19"/>
      <c r="L82" s="19"/>
      <c r="M82" s="19"/>
    </row>
    <row r="83" ht="12.95" customHeight="1" spans="1:13">
      <c r="A83" s="22">
        <v>37</v>
      </c>
      <c r="B83" s="19"/>
      <c r="C83" s="19" t="s">
        <v>125</v>
      </c>
      <c r="D83" s="19" t="s">
        <v>39</v>
      </c>
      <c r="E83" s="19"/>
      <c r="F83" s="19"/>
      <c r="G83" s="24">
        <v>29988</v>
      </c>
      <c r="H83" s="23">
        <v>38325</v>
      </c>
      <c r="I83" s="23">
        <v>43325</v>
      </c>
      <c r="J83" s="24">
        <v>48963</v>
      </c>
      <c r="K83" s="24">
        <v>56888</v>
      </c>
      <c r="L83" s="24">
        <v>61738</v>
      </c>
      <c r="M83" s="19"/>
    </row>
    <row r="84" ht="12.95" customHeight="1" spans="1:13">
      <c r="A84" s="19"/>
      <c r="B84" s="19"/>
      <c r="C84" s="19"/>
      <c r="D84" s="19"/>
      <c r="E84" s="19"/>
      <c r="F84" s="19"/>
      <c r="G84" s="19"/>
      <c r="H84" s="21"/>
      <c r="I84" s="21"/>
      <c r="J84" s="19"/>
      <c r="K84" s="19"/>
      <c r="L84" s="19"/>
      <c r="M84" s="19"/>
    </row>
    <row r="85" ht="12.95" customHeight="1" spans="1:13">
      <c r="A85" s="22">
        <v>38</v>
      </c>
      <c r="B85" s="19"/>
      <c r="C85" s="19" t="s">
        <v>126</v>
      </c>
      <c r="D85" s="19" t="s">
        <v>39</v>
      </c>
      <c r="E85" s="19"/>
      <c r="F85" s="19"/>
      <c r="G85" s="19"/>
      <c r="H85" s="23">
        <v>43238</v>
      </c>
      <c r="I85" s="23">
        <v>47350</v>
      </c>
      <c r="J85" s="24">
        <v>62013</v>
      </c>
      <c r="K85" s="24">
        <v>70400</v>
      </c>
      <c r="L85" s="24">
        <v>78250</v>
      </c>
      <c r="M85" s="19"/>
    </row>
    <row r="86" ht="12.95" customHeight="1" spans="1:13">
      <c r="A86" s="19"/>
      <c r="B86" s="19"/>
      <c r="C86" s="19"/>
      <c r="D86" s="19"/>
      <c r="E86" s="19"/>
      <c r="F86" s="19"/>
      <c r="G86" s="19"/>
      <c r="H86" s="21"/>
      <c r="I86" s="21"/>
      <c r="J86" s="19"/>
      <c r="K86" s="19"/>
      <c r="L86" s="19"/>
      <c r="M86" s="19"/>
    </row>
    <row r="87" ht="12.95" customHeight="1" spans="1:13">
      <c r="A87" s="22">
        <v>39</v>
      </c>
      <c r="B87" s="19"/>
      <c r="C87" s="19" t="s">
        <v>127</v>
      </c>
      <c r="D87" s="19" t="s">
        <v>39</v>
      </c>
      <c r="E87" s="19"/>
      <c r="F87" s="19"/>
      <c r="G87" s="19"/>
      <c r="H87" s="21"/>
      <c r="I87" s="21"/>
      <c r="J87" s="19"/>
      <c r="K87" s="19"/>
      <c r="L87" s="19"/>
      <c r="M87" s="24">
        <v>67963</v>
      </c>
    </row>
    <row r="88" ht="12.95" customHeight="1" spans="1:13">
      <c r="A88" s="19"/>
      <c r="B88" s="19"/>
      <c r="C88" s="19"/>
      <c r="D88" s="19"/>
      <c r="E88" s="19"/>
      <c r="F88" s="19"/>
      <c r="G88" s="19"/>
      <c r="H88" s="21"/>
      <c r="I88" s="21"/>
      <c r="J88" s="19"/>
      <c r="K88" s="19"/>
      <c r="L88" s="19"/>
      <c r="M88" s="19"/>
    </row>
    <row r="89" ht="12.95" customHeight="1" spans="1:13">
      <c r="A89" s="22">
        <v>40</v>
      </c>
      <c r="B89" s="19"/>
      <c r="C89" s="19" t="s">
        <v>128</v>
      </c>
      <c r="D89" s="19" t="s">
        <v>39</v>
      </c>
      <c r="E89" s="19"/>
      <c r="F89" s="19"/>
      <c r="G89" s="24">
        <v>22340</v>
      </c>
      <c r="H89" s="23">
        <v>27265</v>
      </c>
      <c r="I89" s="23">
        <v>31950</v>
      </c>
      <c r="J89" s="24">
        <v>33700</v>
      </c>
      <c r="K89" s="24">
        <v>37550</v>
      </c>
      <c r="L89" s="19"/>
      <c r="M89" s="19"/>
    </row>
    <row r="90" ht="12.95" customHeight="1" spans="1:13">
      <c r="A90" s="19"/>
      <c r="B90" s="19"/>
      <c r="C90" s="19"/>
      <c r="D90" s="19"/>
      <c r="E90" s="19"/>
      <c r="F90" s="19"/>
      <c r="G90" s="19"/>
      <c r="H90" s="21"/>
      <c r="I90" s="21"/>
      <c r="J90" s="19"/>
      <c r="K90" s="19"/>
      <c r="L90" s="19"/>
      <c r="M90" s="19"/>
    </row>
    <row r="91" ht="12.95" customHeight="1" spans="1:13">
      <c r="A91" s="19"/>
      <c r="B91" s="19"/>
      <c r="C91" s="20" t="s">
        <v>129</v>
      </c>
      <c r="D91" s="19"/>
      <c r="E91" s="19"/>
      <c r="F91" s="19"/>
      <c r="G91" s="19"/>
      <c r="H91" s="21"/>
      <c r="I91" s="21"/>
      <c r="J91" s="19"/>
      <c r="K91" s="19"/>
      <c r="L91" s="19"/>
      <c r="M91" s="19"/>
    </row>
    <row r="92" ht="12.95" customHeight="1" spans="1:13">
      <c r="A92" s="22">
        <v>41</v>
      </c>
      <c r="B92" s="19"/>
      <c r="C92" s="19" t="s">
        <v>130</v>
      </c>
      <c r="D92" s="19" t="s">
        <v>39</v>
      </c>
      <c r="E92" s="19"/>
      <c r="F92" s="19"/>
      <c r="G92" s="19"/>
      <c r="H92" s="23">
        <v>40325</v>
      </c>
      <c r="I92" s="23">
        <v>44325</v>
      </c>
      <c r="J92" s="24">
        <v>58500</v>
      </c>
      <c r="K92" s="24">
        <v>67800</v>
      </c>
      <c r="L92" s="24">
        <v>74475</v>
      </c>
      <c r="M92" s="19"/>
    </row>
    <row r="93" ht="12.95" customHeight="1" spans="1:13">
      <c r="A93" s="19"/>
      <c r="B93" s="19"/>
      <c r="C93" s="19"/>
      <c r="D93" s="19"/>
      <c r="E93" s="19"/>
      <c r="F93" s="19"/>
      <c r="G93" s="19"/>
      <c r="H93" s="21"/>
      <c r="I93" s="21"/>
      <c r="J93" s="19"/>
      <c r="K93" s="19"/>
      <c r="L93" s="19"/>
      <c r="M93" s="19"/>
    </row>
    <row r="94" ht="12.95" customHeight="1" spans="1:13">
      <c r="A94" s="22">
        <v>42</v>
      </c>
      <c r="B94" s="19"/>
      <c r="C94" s="19" t="s">
        <v>131</v>
      </c>
      <c r="D94" s="19" t="s">
        <v>39</v>
      </c>
      <c r="E94" s="19"/>
      <c r="F94" s="19"/>
      <c r="G94" s="24">
        <v>30575</v>
      </c>
      <c r="H94" s="23">
        <v>38650</v>
      </c>
      <c r="I94" s="23">
        <v>42500</v>
      </c>
      <c r="J94" s="24">
        <v>47325</v>
      </c>
      <c r="K94" s="24">
        <v>53050</v>
      </c>
      <c r="L94" s="24">
        <v>57475</v>
      </c>
      <c r="M94" s="19"/>
    </row>
    <row r="95" ht="12.95" customHeight="1" spans="1:13">
      <c r="A95" s="19"/>
      <c r="B95" s="19"/>
      <c r="C95" s="19"/>
      <c r="D95" s="19"/>
      <c r="E95" s="19"/>
      <c r="F95" s="19"/>
      <c r="G95" s="19"/>
      <c r="H95" s="21"/>
      <c r="I95" s="21"/>
      <c r="J95" s="19"/>
      <c r="K95" s="19"/>
      <c r="L95" s="19"/>
      <c r="M95" s="19"/>
    </row>
    <row r="96" ht="12.95" customHeight="1" spans="1:13">
      <c r="A96" s="22">
        <v>43</v>
      </c>
      <c r="B96" s="19"/>
      <c r="C96" s="19" t="s">
        <v>132</v>
      </c>
      <c r="D96" s="19" t="s">
        <v>39</v>
      </c>
      <c r="E96" s="19"/>
      <c r="F96" s="19"/>
      <c r="G96" s="19"/>
      <c r="H96" s="21"/>
      <c r="I96" s="23">
        <v>10438</v>
      </c>
      <c r="J96" s="19"/>
      <c r="K96" s="19"/>
      <c r="L96" s="19"/>
      <c r="M96" s="19"/>
    </row>
    <row r="97" ht="12.95" customHeight="1" spans="1:13">
      <c r="A97" s="19"/>
      <c r="B97" s="19"/>
      <c r="C97" s="19"/>
      <c r="D97" s="19"/>
      <c r="E97" s="19"/>
      <c r="F97" s="19"/>
      <c r="G97" s="19"/>
      <c r="H97" s="21"/>
      <c r="I97" s="21"/>
      <c r="J97" s="19"/>
      <c r="K97" s="19"/>
      <c r="L97" s="19"/>
      <c r="M97" s="19"/>
    </row>
    <row r="98" ht="12.95" customHeight="1" spans="1:13">
      <c r="A98" s="22">
        <v>44</v>
      </c>
      <c r="B98" s="19"/>
      <c r="C98" s="19" t="s">
        <v>133</v>
      </c>
      <c r="D98" s="19" t="s">
        <v>39</v>
      </c>
      <c r="E98" s="19"/>
      <c r="F98" s="19"/>
      <c r="G98" s="19"/>
      <c r="H98" s="23">
        <v>10075</v>
      </c>
      <c r="I98" s="21"/>
      <c r="J98" s="19"/>
      <c r="K98" s="19"/>
      <c r="L98" s="19"/>
      <c r="M98" s="19"/>
    </row>
    <row r="99" ht="12.95" customHeight="1" spans="1:13">
      <c r="A99" s="19"/>
      <c r="B99" s="19"/>
      <c r="C99" s="19"/>
      <c r="D99" s="19"/>
      <c r="E99" s="19"/>
      <c r="F99" s="19"/>
      <c r="G99" s="19"/>
      <c r="H99" s="21"/>
      <c r="I99" s="21"/>
      <c r="J99" s="19"/>
      <c r="K99" s="19"/>
      <c r="L99" s="19"/>
      <c r="M99" s="19"/>
    </row>
    <row r="100" ht="12.95" customHeight="1" spans="1:13">
      <c r="A100" s="22">
        <v>45</v>
      </c>
      <c r="B100" s="19"/>
      <c r="C100" s="19" t="s">
        <v>134</v>
      </c>
      <c r="D100" s="19" t="s">
        <v>39</v>
      </c>
      <c r="E100" s="19"/>
      <c r="F100" s="19"/>
      <c r="G100" s="24">
        <v>7688</v>
      </c>
      <c r="H100" s="21"/>
      <c r="I100" s="21"/>
      <c r="J100" s="19"/>
      <c r="K100" s="19"/>
      <c r="L100" s="19"/>
      <c r="M100" s="19"/>
    </row>
    <row r="101" ht="12.95" customHeight="1" spans="1:13">
      <c r="A101" s="19"/>
      <c r="B101" s="19"/>
      <c r="C101" s="19"/>
      <c r="D101" s="19"/>
      <c r="E101" s="19"/>
      <c r="F101" s="19"/>
      <c r="G101" s="19"/>
      <c r="H101" s="21"/>
      <c r="I101" s="21"/>
      <c r="J101" s="19"/>
      <c r="K101" s="19"/>
      <c r="L101" s="19"/>
      <c r="M101" s="19"/>
    </row>
    <row r="102" ht="12.95" customHeight="1" spans="1:13">
      <c r="A102" s="22">
        <v>46</v>
      </c>
      <c r="B102" s="19"/>
      <c r="C102" s="19" t="s">
        <v>135</v>
      </c>
      <c r="D102" s="19" t="s">
        <v>39</v>
      </c>
      <c r="E102" s="19"/>
      <c r="F102" s="19"/>
      <c r="G102" s="19"/>
      <c r="H102" s="21"/>
      <c r="I102" s="21"/>
      <c r="J102" s="19"/>
      <c r="K102" s="19"/>
      <c r="L102" s="19"/>
      <c r="M102" s="24">
        <v>101625</v>
      </c>
    </row>
    <row r="103" ht="12.95" customHeight="1" spans="1:13">
      <c r="A103" s="19"/>
      <c r="B103" s="19"/>
      <c r="C103" s="19"/>
      <c r="D103" s="19"/>
      <c r="E103" s="19"/>
      <c r="F103" s="19"/>
      <c r="G103" s="19"/>
      <c r="H103" s="21"/>
      <c r="I103" s="21"/>
      <c r="J103" s="19"/>
      <c r="K103" s="19"/>
      <c r="L103" s="19"/>
      <c r="M103" s="19"/>
    </row>
    <row r="104" ht="12.95" customHeight="1" spans="1:13">
      <c r="A104" s="22">
        <v>47</v>
      </c>
      <c r="B104" s="19"/>
      <c r="C104" s="19" t="s">
        <v>136</v>
      </c>
      <c r="D104" s="19" t="s">
        <v>39</v>
      </c>
      <c r="E104" s="19"/>
      <c r="F104" s="19"/>
      <c r="G104" s="24">
        <v>10109</v>
      </c>
      <c r="H104" s="23">
        <v>11231</v>
      </c>
      <c r="I104" s="23">
        <v>12341</v>
      </c>
      <c r="J104" s="24">
        <v>17091</v>
      </c>
      <c r="K104" s="24">
        <v>20136</v>
      </c>
      <c r="L104" s="24">
        <v>25557</v>
      </c>
      <c r="M104" s="19"/>
    </row>
    <row r="105" ht="12.95" customHeight="1" spans="1:13">
      <c r="A105" s="19"/>
      <c r="B105" s="19"/>
      <c r="C105" s="19"/>
      <c r="D105" s="19"/>
      <c r="E105" s="19"/>
      <c r="F105" s="19"/>
      <c r="G105" s="19"/>
      <c r="H105" s="21"/>
      <c r="I105" s="21"/>
      <c r="J105" s="19"/>
      <c r="K105" s="19"/>
      <c r="L105" s="19"/>
      <c r="M105" s="19"/>
    </row>
    <row r="106" ht="12.95" customHeight="1" spans="1:13">
      <c r="A106" s="22">
        <v>48</v>
      </c>
      <c r="B106" s="19"/>
      <c r="C106" s="19" t="s">
        <v>137</v>
      </c>
      <c r="D106" s="19" t="s">
        <v>39</v>
      </c>
      <c r="E106" s="19"/>
      <c r="F106" s="19"/>
      <c r="G106" s="19"/>
      <c r="H106" s="21"/>
      <c r="I106" s="21"/>
      <c r="J106" s="19"/>
      <c r="K106" s="19"/>
      <c r="L106" s="19"/>
      <c r="M106" s="24">
        <v>70890</v>
      </c>
    </row>
    <row r="107" ht="12.95" customHeight="1" spans="1:13">
      <c r="A107" s="19"/>
      <c r="B107" s="19"/>
      <c r="C107" s="19"/>
      <c r="D107" s="19"/>
      <c r="E107" s="19"/>
      <c r="F107" s="19"/>
      <c r="G107" s="19"/>
      <c r="H107" s="21"/>
      <c r="I107" s="21"/>
      <c r="J107" s="19"/>
      <c r="K107" s="19"/>
      <c r="L107" s="19"/>
      <c r="M107" s="19"/>
    </row>
    <row r="108" ht="12.95" customHeight="1" spans="1:13">
      <c r="A108" s="22">
        <v>49</v>
      </c>
      <c r="B108" s="19"/>
      <c r="C108" s="19" t="s">
        <v>138</v>
      </c>
      <c r="D108" s="19" t="s">
        <v>39</v>
      </c>
      <c r="E108" s="19"/>
      <c r="F108" s="19"/>
      <c r="G108" s="19"/>
      <c r="H108" s="23">
        <v>10150</v>
      </c>
      <c r="I108" s="23">
        <v>10950</v>
      </c>
      <c r="J108" s="24">
        <v>14375</v>
      </c>
      <c r="K108" s="24">
        <v>18750</v>
      </c>
      <c r="L108" s="24">
        <v>23925</v>
      </c>
      <c r="M108" s="19"/>
    </row>
    <row r="109" ht="12.95" customHeight="1" spans="1:13">
      <c r="A109" s="19"/>
      <c r="B109" s="19"/>
      <c r="C109" s="19"/>
      <c r="D109" s="19"/>
      <c r="E109" s="19"/>
      <c r="F109" s="19"/>
      <c r="G109" s="19"/>
      <c r="H109" s="21"/>
      <c r="I109" s="21"/>
      <c r="J109" s="19"/>
      <c r="K109" s="19"/>
      <c r="L109" s="19"/>
      <c r="M109" s="19"/>
    </row>
    <row r="110" ht="12.95" customHeight="1" spans="1:13">
      <c r="A110" s="19"/>
      <c r="B110" s="19"/>
      <c r="C110" s="20" t="s">
        <v>139</v>
      </c>
      <c r="D110" s="19"/>
      <c r="E110" s="19"/>
      <c r="F110" s="19"/>
      <c r="G110" s="19"/>
      <c r="H110" s="21"/>
      <c r="I110" s="21"/>
      <c r="J110" s="19"/>
      <c r="K110" s="19"/>
      <c r="L110" s="19"/>
      <c r="M110" s="19"/>
    </row>
    <row r="111" ht="12.95" customHeight="1" spans="1:13">
      <c r="A111" s="22">
        <v>50</v>
      </c>
      <c r="B111" s="19"/>
      <c r="C111" s="19" t="s">
        <v>140</v>
      </c>
      <c r="D111" s="19" t="s">
        <v>39</v>
      </c>
      <c r="E111" s="19"/>
      <c r="F111" s="19"/>
      <c r="G111" s="24">
        <v>9025</v>
      </c>
      <c r="H111" s="23">
        <v>10150</v>
      </c>
      <c r="I111" s="23">
        <v>11492</v>
      </c>
      <c r="J111" s="24">
        <v>14150</v>
      </c>
      <c r="K111" s="24">
        <v>17300</v>
      </c>
      <c r="L111" s="19"/>
      <c r="M111" s="19"/>
    </row>
    <row r="112" ht="12.95" customHeight="1" spans="1:13">
      <c r="A112" s="19"/>
      <c r="B112" s="19"/>
      <c r="C112" s="19"/>
      <c r="D112" s="19"/>
      <c r="E112" s="19"/>
      <c r="F112" s="19"/>
      <c r="G112" s="19"/>
      <c r="H112" s="21"/>
      <c r="I112" s="21"/>
      <c r="J112" s="19"/>
      <c r="K112" s="19"/>
      <c r="L112" s="19"/>
      <c r="M112" s="19"/>
    </row>
    <row r="113" ht="12.95" customHeight="1" spans="1:13">
      <c r="A113" s="22">
        <v>51</v>
      </c>
      <c r="B113" s="19"/>
      <c r="C113" s="19" t="s">
        <v>94</v>
      </c>
      <c r="D113" s="19" t="s">
        <v>39</v>
      </c>
      <c r="E113" s="19"/>
      <c r="F113" s="19"/>
      <c r="G113" s="19"/>
      <c r="H113" s="21"/>
      <c r="I113" s="21"/>
      <c r="J113" s="24">
        <v>58450</v>
      </c>
      <c r="K113" s="24">
        <v>66200</v>
      </c>
      <c r="L113" s="24">
        <v>73400</v>
      </c>
      <c r="M113" s="19"/>
    </row>
    <row r="114" ht="12.95" customHeight="1" spans="1:13">
      <c r="A114" s="19"/>
      <c r="B114" s="19"/>
      <c r="C114" s="19"/>
      <c r="D114" s="19"/>
      <c r="E114" s="19"/>
      <c r="F114" s="19"/>
      <c r="G114" s="19"/>
      <c r="H114" s="21"/>
      <c r="I114" s="21"/>
      <c r="J114" s="19"/>
      <c r="K114" s="19"/>
      <c r="L114" s="19"/>
      <c r="M114" s="19"/>
    </row>
    <row r="115" ht="12.95" customHeight="1" spans="1:13">
      <c r="A115" s="22">
        <v>52</v>
      </c>
      <c r="B115" s="19"/>
      <c r="C115" s="19" t="s">
        <v>141</v>
      </c>
      <c r="D115" s="19" t="s">
        <v>39</v>
      </c>
      <c r="E115" s="19"/>
      <c r="F115" s="19"/>
      <c r="G115" s="24">
        <v>17493</v>
      </c>
      <c r="H115" s="23">
        <v>23450</v>
      </c>
      <c r="I115" s="23">
        <v>25979</v>
      </c>
      <c r="J115" s="24">
        <v>27283</v>
      </c>
      <c r="K115" s="24">
        <v>29608</v>
      </c>
      <c r="L115" s="24">
        <v>34200</v>
      </c>
      <c r="M115" s="19"/>
    </row>
    <row r="116" ht="12.95" customHeight="1" spans="1:13">
      <c r="A116" s="19"/>
      <c r="B116" s="19"/>
      <c r="C116" s="19"/>
      <c r="D116" s="19"/>
      <c r="E116" s="19"/>
      <c r="F116" s="19"/>
      <c r="G116" s="19"/>
      <c r="H116" s="21"/>
      <c r="I116" s="21"/>
      <c r="J116" s="19"/>
      <c r="K116" s="19"/>
      <c r="L116" s="19"/>
      <c r="M116" s="19"/>
    </row>
    <row r="117" ht="12.95" customHeight="1" spans="1:13">
      <c r="A117" s="19"/>
      <c r="B117" s="19"/>
      <c r="C117" s="20" t="s">
        <v>67</v>
      </c>
      <c r="D117" s="19"/>
      <c r="E117" s="19"/>
      <c r="F117" s="19"/>
      <c r="G117" s="19"/>
      <c r="H117" s="21"/>
      <c r="I117" s="21"/>
      <c r="J117" s="19"/>
      <c r="K117" s="19"/>
      <c r="L117" s="19"/>
      <c r="M117" s="19"/>
    </row>
    <row r="118" ht="12.95" customHeight="1" spans="1:13">
      <c r="A118" s="22">
        <v>53</v>
      </c>
      <c r="B118" s="19"/>
      <c r="C118" s="19" t="s">
        <v>142</v>
      </c>
      <c r="D118" s="19" t="s">
        <v>39</v>
      </c>
      <c r="E118" s="19"/>
      <c r="F118" s="19"/>
      <c r="G118" s="19"/>
      <c r="H118" s="23">
        <v>40150</v>
      </c>
      <c r="I118" s="23">
        <v>48550</v>
      </c>
      <c r="J118" s="19"/>
      <c r="K118" s="19"/>
      <c r="L118" s="19"/>
      <c r="M118" s="19"/>
    </row>
    <row r="119" ht="12.95" customHeight="1" spans="1:13">
      <c r="A119" s="19"/>
      <c r="B119" s="19"/>
      <c r="C119" s="19"/>
      <c r="D119" s="19"/>
      <c r="E119" s="19"/>
      <c r="F119" s="19"/>
      <c r="G119" s="19"/>
      <c r="H119" s="21"/>
      <c r="I119" s="21"/>
      <c r="J119" s="19"/>
      <c r="K119" s="19"/>
      <c r="L119" s="19"/>
      <c r="M119" s="19"/>
    </row>
    <row r="120" ht="12.95" customHeight="1" spans="1:13">
      <c r="A120" s="22">
        <v>54</v>
      </c>
      <c r="B120" s="19"/>
      <c r="C120" s="19" t="s">
        <v>143</v>
      </c>
      <c r="D120" s="19" t="s">
        <v>39</v>
      </c>
      <c r="E120" s="19"/>
      <c r="F120" s="19"/>
      <c r="G120" s="24">
        <v>8289</v>
      </c>
      <c r="H120" s="23">
        <v>9606</v>
      </c>
      <c r="I120" s="23">
        <v>10906</v>
      </c>
      <c r="J120" s="24">
        <v>14548</v>
      </c>
      <c r="K120" s="24">
        <v>18384</v>
      </c>
      <c r="L120" s="24">
        <v>22853</v>
      </c>
      <c r="M120" s="19"/>
    </row>
    <row r="121" ht="12.95" customHeight="1" spans="1:13">
      <c r="A121" s="19"/>
      <c r="B121" s="19"/>
      <c r="C121" s="19"/>
      <c r="D121" s="19"/>
      <c r="E121" s="19"/>
      <c r="F121" s="19"/>
      <c r="G121" s="19"/>
      <c r="H121" s="21"/>
      <c r="I121" s="21"/>
      <c r="J121" s="19"/>
      <c r="K121" s="19"/>
      <c r="L121" s="19"/>
      <c r="M121" s="19"/>
    </row>
    <row r="122" ht="12.95" customHeight="1" spans="1:13">
      <c r="A122" s="22">
        <v>55</v>
      </c>
      <c r="B122" s="19"/>
      <c r="C122" s="19" t="s">
        <v>144</v>
      </c>
      <c r="D122" s="20" t="s">
        <v>39</v>
      </c>
      <c r="E122" s="19"/>
      <c r="F122" s="19"/>
      <c r="G122" s="19"/>
      <c r="H122" s="21"/>
      <c r="I122" s="21"/>
      <c r="J122" s="19"/>
      <c r="K122" s="19"/>
      <c r="L122" s="19"/>
      <c r="M122" s="24">
        <v>69910</v>
      </c>
    </row>
    <row r="123" ht="12.95" customHeight="1" spans="1:13">
      <c r="A123" s="19"/>
      <c r="B123" s="19"/>
      <c r="C123" s="19"/>
      <c r="D123" s="19"/>
      <c r="E123" s="19"/>
      <c r="F123" s="19"/>
      <c r="G123" s="19"/>
      <c r="H123" s="21"/>
      <c r="I123" s="21"/>
      <c r="J123" s="19"/>
      <c r="K123" s="19"/>
      <c r="L123" s="19"/>
      <c r="M123" s="19"/>
    </row>
    <row r="124" ht="12.95" customHeight="1" spans="1:13">
      <c r="A124" s="22">
        <v>56</v>
      </c>
      <c r="B124" s="19"/>
      <c r="C124" s="19" t="s">
        <v>145</v>
      </c>
      <c r="D124" s="19" t="s">
        <v>39</v>
      </c>
      <c r="E124" s="19"/>
      <c r="F124" s="19"/>
      <c r="G124" s="19"/>
      <c r="H124" s="21"/>
      <c r="I124" s="23">
        <v>31975</v>
      </c>
      <c r="J124" s="24">
        <v>33325</v>
      </c>
      <c r="K124" s="24">
        <v>37425</v>
      </c>
      <c r="L124" s="24">
        <v>42025</v>
      </c>
      <c r="M124" s="19"/>
    </row>
    <row r="125" ht="12.95" customHeight="1" spans="1:13">
      <c r="A125" s="19"/>
      <c r="B125" s="19"/>
      <c r="C125" s="19"/>
      <c r="D125" s="19"/>
      <c r="E125" s="19"/>
      <c r="F125" s="19"/>
      <c r="G125" s="19"/>
      <c r="H125" s="21"/>
      <c r="I125" s="21"/>
      <c r="J125" s="19"/>
      <c r="K125" s="19"/>
      <c r="L125" s="19"/>
      <c r="M125" s="19"/>
    </row>
    <row r="126" ht="12.95" customHeight="1" spans="1:13">
      <c r="A126" s="22">
        <v>57</v>
      </c>
      <c r="B126" s="19"/>
      <c r="C126" s="19" t="s">
        <v>146</v>
      </c>
      <c r="D126" s="19" t="s">
        <v>39</v>
      </c>
      <c r="E126" s="19"/>
      <c r="F126" s="19"/>
      <c r="G126" s="24">
        <v>21700</v>
      </c>
      <c r="H126" s="23">
        <v>28550</v>
      </c>
      <c r="I126" s="21"/>
      <c r="J126" s="19"/>
      <c r="K126" s="19"/>
      <c r="L126" s="19"/>
      <c r="M126" s="19"/>
    </row>
    <row r="127" ht="12.95" customHeight="1" spans="1:13">
      <c r="A127" s="19"/>
      <c r="B127" s="19"/>
      <c r="C127" s="19"/>
      <c r="D127" s="19"/>
      <c r="E127" s="19"/>
      <c r="F127" s="19"/>
      <c r="G127" s="19"/>
      <c r="H127" s="21"/>
      <c r="I127" s="21"/>
      <c r="J127" s="19"/>
      <c r="K127" s="19"/>
      <c r="L127" s="19"/>
      <c r="M127" s="19"/>
    </row>
    <row r="128" ht="12.95" customHeight="1" spans="1:13">
      <c r="A128" s="22">
        <v>58</v>
      </c>
      <c r="B128" s="19"/>
      <c r="C128" s="19" t="s">
        <v>147</v>
      </c>
      <c r="D128" s="19" t="s">
        <v>39</v>
      </c>
      <c r="E128" s="19"/>
      <c r="F128" s="19"/>
      <c r="G128" s="19"/>
      <c r="H128" s="23">
        <v>43925</v>
      </c>
      <c r="I128" s="23">
        <v>47988</v>
      </c>
      <c r="J128" s="24">
        <v>62100</v>
      </c>
      <c r="K128" s="19"/>
      <c r="L128" s="19"/>
      <c r="M128" s="19"/>
    </row>
    <row r="129" ht="12.95" customHeight="1" spans="1:13">
      <c r="A129" s="19"/>
      <c r="B129" s="19"/>
      <c r="C129" s="19"/>
      <c r="D129" s="19"/>
      <c r="E129" s="19"/>
      <c r="F129" s="19"/>
      <c r="G129" s="19"/>
      <c r="H129" s="21"/>
      <c r="I129" s="21"/>
      <c r="J129" s="19"/>
      <c r="K129" s="19"/>
      <c r="L129" s="19"/>
      <c r="M129" s="19"/>
    </row>
    <row r="130" ht="12.95" customHeight="1" spans="1:13">
      <c r="A130" s="19"/>
      <c r="B130" s="19"/>
      <c r="C130" s="20" t="s">
        <v>148</v>
      </c>
      <c r="D130" s="19"/>
      <c r="E130" s="19"/>
      <c r="F130" s="19"/>
      <c r="G130" s="19"/>
      <c r="H130" s="21"/>
      <c r="I130" s="21"/>
      <c r="J130" s="19"/>
      <c r="K130" s="19"/>
      <c r="L130" s="19"/>
      <c r="M130" s="19"/>
    </row>
    <row r="131" ht="12.95" customHeight="1" spans="1:13">
      <c r="A131" s="22">
        <v>59</v>
      </c>
      <c r="B131" s="19"/>
      <c r="C131" s="19" t="s">
        <v>149</v>
      </c>
      <c r="D131" s="19" t="s">
        <v>39</v>
      </c>
      <c r="E131" s="19"/>
      <c r="F131" s="19"/>
      <c r="G131" s="24">
        <v>8800</v>
      </c>
      <c r="H131" s="23">
        <v>9933</v>
      </c>
      <c r="I131" s="21"/>
      <c r="J131" s="19"/>
      <c r="K131" s="19"/>
      <c r="L131" s="19"/>
      <c r="M131" s="19"/>
    </row>
    <row r="132" ht="12.95" customHeight="1" spans="1:13">
      <c r="A132" s="19"/>
      <c r="B132" s="19"/>
      <c r="C132" s="19"/>
      <c r="D132" s="19"/>
      <c r="E132" s="19"/>
      <c r="F132" s="19"/>
      <c r="G132" s="19"/>
      <c r="H132" s="21"/>
      <c r="I132" s="21"/>
      <c r="J132" s="19"/>
      <c r="K132" s="19"/>
      <c r="L132" s="19"/>
      <c r="M132" s="19"/>
    </row>
    <row r="133" ht="12.95" customHeight="1" spans="1:13">
      <c r="A133" s="22">
        <v>60</v>
      </c>
      <c r="B133" s="19"/>
      <c r="C133" s="19" t="s">
        <v>150</v>
      </c>
      <c r="D133" s="19" t="s">
        <v>39</v>
      </c>
      <c r="E133" s="19"/>
      <c r="F133" s="19"/>
      <c r="G133" s="19"/>
      <c r="H133" s="21"/>
      <c r="I133" s="21"/>
      <c r="J133" s="24">
        <v>21300</v>
      </c>
      <c r="K133" s="24">
        <v>23883</v>
      </c>
      <c r="L133" s="24">
        <v>29500</v>
      </c>
      <c r="M133" s="24">
        <v>33925</v>
      </c>
    </row>
    <row r="134" ht="12.95" customHeight="1" spans="1:13">
      <c r="A134" s="19"/>
      <c r="B134" s="19"/>
      <c r="C134" s="19"/>
      <c r="D134" s="19"/>
      <c r="E134" s="19"/>
      <c r="F134" s="19"/>
      <c r="G134" s="19"/>
      <c r="H134" s="21"/>
      <c r="I134" s="21"/>
      <c r="J134" s="19"/>
      <c r="K134" s="19"/>
      <c r="L134" s="19"/>
      <c r="M134" s="19"/>
    </row>
    <row r="135" ht="12.95" customHeight="1" spans="1:13">
      <c r="A135" s="22">
        <v>61</v>
      </c>
      <c r="B135" s="19"/>
      <c r="C135" s="19" t="s">
        <v>151</v>
      </c>
      <c r="D135" s="19" t="s">
        <v>39</v>
      </c>
      <c r="E135" s="19"/>
      <c r="F135" s="19"/>
      <c r="G135" s="19"/>
      <c r="H135" s="21"/>
      <c r="I135" s="21"/>
      <c r="J135" s="19"/>
      <c r="K135" s="19"/>
      <c r="L135" s="24">
        <v>28900</v>
      </c>
      <c r="M135" s="19"/>
    </row>
    <row r="136" ht="12.95" customHeight="1" spans="1:13">
      <c r="A136" s="19"/>
      <c r="B136" s="19"/>
      <c r="C136" s="19"/>
      <c r="D136" s="19"/>
      <c r="E136" s="19"/>
      <c r="F136" s="19"/>
      <c r="G136" s="19"/>
      <c r="H136" s="21"/>
      <c r="I136" s="21"/>
      <c r="J136" s="19"/>
      <c r="K136" s="19"/>
      <c r="L136" s="19"/>
      <c r="M136" s="19"/>
    </row>
    <row r="137" ht="12.95" customHeight="1" spans="1:13">
      <c r="A137" s="22">
        <v>62</v>
      </c>
      <c r="B137" s="19"/>
      <c r="C137" s="19" t="s">
        <v>152</v>
      </c>
      <c r="D137" s="19" t="s">
        <v>39</v>
      </c>
      <c r="E137" s="19"/>
      <c r="F137" s="19"/>
      <c r="G137" s="24">
        <v>11160</v>
      </c>
      <c r="H137" s="23">
        <v>12715</v>
      </c>
      <c r="I137" s="23">
        <v>13958</v>
      </c>
      <c r="J137" s="24">
        <v>20913</v>
      </c>
      <c r="K137" s="24">
        <v>23883</v>
      </c>
      <c r="L137" s="24">
        <v>29500</v>
      </c>
      <c r="M137" s="19"/>
    </row>
    <row r="138" ht="12.95" customHeight="1" spans="1:13">
      <c r="A138" s="19"/>
      <c r="B138" s="19"/>
      <c r="C138" s="19"/>
      <c r="D138" s="19"/>
      <c r="E138" s="19"/>
      <c r="F138" s="19"/>
      <c r="G138" s="19"/>
      <c r="H138" s="21"/>
      <c r="I138" s="21"/>
      <c r="J138" s="19"/>
      <c r="K138" s="19"/>
      <c r="L138" s="19"/>
      <c r="M138" s="19"/>
    </row>
    <row r="139" ht="12.95" customHeight="1" spans="1:13">
      <c r="A139" s="22">
        <v>63</v>
      </c>
      <c r="B139" s="19"/>
      <c r="C139" s="19" t="s">
        <v>153</v>
      </c>
      <c r="D139" s="19" t="s">
        <v>39</v>
      </c>
      <c r="E139" s="19"/>
      <c r="F139" s="19"/>
      <c r="G139" s="19"/>
      <c r="H139" s="21"/>
      <c r="I139" s="23">
        <v>15300</v>
      </c>
      <c r="J139" s="24">
        <v>21300</v>
      </c>
      <c r="K139" s="24">
        <v>24425</v>
      </c>
      <c r="L139" s="24">
        <v>30275</v>
      </c>
      <c r="M139" s="19"/>
    </row>
    <row r="140" ht="12.95" customHeight="1" spans="1:13">
      <c r="A140" s="19"/>
      <c r="B140" s="19"/>
      <c r="C140" s="19"/>
      <c r="D140" s="19"/>
      <c r="E140" s="19"/>
      <c r="F140" s="19"/>
      <c r="G140" s="19"/>
      <c r="H140" s="21"/>
      <c r="I140" s="21"/>
      <c r="J140" s="19"/>
      <c r="K140" s="19"/>
      <c r="L140" s="19"/>
      <c r="M140" s="19"/>
    </row>
    <row r="141" ht="12.95" customHeight="1" spans="1:13">
      <c r="A141" s="22">
        <v>64</v>
      </c>
      <c r="B141" s="19"/>
      <c r="C141" s="19" t="s">
        <v>154</v>
      </c>
      <c r="D141" s="19" t="s">
        <v>39</v>
      </c>
      <c r="E141" s="19"/>
      <c r="F141" s="19"/>
      <c r="G141" s="19"/>
      <c r="H141" s="21"/>
      <c r="I141" s="21"/>
      <c r="J141" s="19"/>
      <c r="K141" s="24">
        <v>61000</v>
      </c>
      <c r="L141" s="24">
        <v>65650</v>
      </c>
      <c r="M141" s="19"/>
    </row>
    <row r="142" ht="12.95" customHeight="1" spans="1:13">
      <c r="A142" s="19"/>
      <c r="B142" s="19"/>
      <c r="C142" s="19"/>
      <c r="D142" s="19"/>
      <c r="E142" s="19"/>
      <c r="F142" s="19"/>
      <c r="G142" s="19"/>
      <c r="H142" s="21"/>
      <c r="I142" s="21"/>
      <c r="J142" s="19"/>
      <c r="K142" s="19"/>
      <c r="L142" s="19"/>
      <c r="M142" s="19"/>
    </row>
    <row r="143" ht="12.95" customHeight="1" spans="1:13">
      <c r="A143" s="2"/>
      <c r="B143" s="2"/>
      <c r="C143" s="2" t="s">
        <v>155</v>
      </c>
      <c r="D143" s="2"/>
      <c r="E143" s="2"/>
      <c r="F143" s="2"/>
      <c r="G143" s="2"/>
      <c r="H143" s="4"/>
      <c r="I143" s="4"/>
      <c r="J143" s="2"/>
      <c r="K143" s="2"/>
      <c r="L143" s="2"/>
      <c r="M143" s="2"/>
    </row>
    <row r="144" ht="12.95" customHeight="1" spans="1:13">
      <c r="A144" s="6"/>
      <c r="B144" s="5"/>
      <c r="C144" s="5"/>
      <c r="D144" s="5"/>
      <c r="E144" s="5"/>
      <c r="F144" s="5"/>
      <c r="G144" s="6"/>
      <c r="H144" s="8"/>
      <c r="I144" s="8"/>
      <c r="J144" s="6"/>
      <c r="K144" s="6"/>
      <c r="L144" s="6"/>
      <c r="M144" s="6"/>
    </row>
    <row r="145" ht="12.95" customHeight="1" spans="1:13">
      <c r="A145" s="5"/>
      <c r="B145" s="5"/>
      <c r="C145" s="5"/>
      <c r="D145" s="5"/>
      <c r="E145" s="5"/>
      <c r="F145" s="5"/>
      <c r="G145" s="5"/>
      <c r="H145" s="11"/>
      <c r="I145" s="11"/>
      <c r="J145" s="5"/>
      <c r="K145" s="5"/>
      <c r="L145" s="5"/>
      <c r="M145" s="5"/>
    </row>
    <row r="146" ht="12.95" customHeight="1" spans="1:13">
      <c r="A146" s="6"/>
      <c r="B146" s="5"/>
      <c r="C146" s="5"/>
      <c r="D146" s="5"/>
      <c r="E146" s="5"/>
      <c r="F146" s="5"/>
      <c r="G146" s="6"/>
      <c r="H146" s="8"/>
      <c r="I146" s="8"/>
      <c r="J146" s="6"/>
      <c r="K146" s="6"/>
      <c r="L146" s="6"/>
      <c r="M146" s="6"/>
    </row>
    <row r="147" ht="12.95" customHeight="1" spans="1:13">
      <c r="A147" s="25">
        <v>65</v>
      </c>
      <c r="B147" s="14"/>
      <c r="C147" s="14"/>
      <c r="D147" s="14"/>
      <c r="E147" s="14"/>
      <c r="F147" s="14"/>
      <c r="G147" s="26">
        <v>13930</v>
      </c>
      <c r="H147" s="27">
        <v>21218</v>
      </c>
      <c r="I147" s="27">
        <v>24397</v>
      </c>
      <c r="J147" s="26">
        <v>29345</v>
      </c>
      <c r="K147" s="26">
        <v>31452</v>
      </c>
      <c r="L147" s="26">
        <v>39718</v>
      </c>
      <c r="M147" s="26">
        <v>47662</v>
      </c>
    </row>
    <row r="148" ht="12.95" customHeight="1" spans="1:13">
      <c r="A148" s="19"/>
      <c r="B148" s="19"/>
      <c r="C148" s="19"/>
      <c r="D148" s="19"/>
      <c r="E148" s="19"/>
      <c r="F148" s="19"/>
      <c r="G148" s="19"/>
      <c r="H148" s="21"/>
      <c r="I148" s="21"/>
      <c r="J148" s="19"/>
      <c r="K148" s="19"/>
      <c r="L148" s="19"/>
      <c r="M148" s="19"/>
    </row>
  </sheetData>
  <mergeCells count="15">
    <mergeCell ref="E1:M1"/>
    <mergeCell ref="E2:M2"/>
    <mergeCell ref="B143:B147"/>
    <mergeCell ref="C1:C5"/>
    <mergeCell ref="C143:C147"/>
    <mergeCell ref="D143:D147"/>
    <mergeCell ref="E143:E147"/>
    <mergeCell ref="F4:F5"/>
    <mergeCell ref="F143:F147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6"/>
  <sheetViews>
    <sheetView topLeftCell="B26" workbookViewId="0">
      <selection activeCell="C69" sqref="C69"/>
    </sheetView>
  </sheetViews>
  <sheetFormatPr defaultColWidth="11.4259259259259" defaultRowHeight="14.4"/>
  <cols>
    <col min="1" max="2" width="12.712962962963" customWidth="1"/>
    <col min="3" max="3" width="44.4259259259259" customWidth="1"/>
    <col min="4" max="4" width="21.287037037037" customWidth="1"/>
    <col min="5" max="7" width="12.712962962963" customWidth="1"/>
    <col min="8" max="9" width="12.712962962963" style="1" customWidth="1"/>
    <col min="10" max="13" width="12.712962962963" customWidth="1"/>
  </cols>
  <sheetData>
    <row r="1" ht="3.75" customHeight="1" spans="1:13">
      <c r="A1" s="2"/>
      <c r="B1" s="2"/>
      <c r="C1" s="2"/>
      <c r="D1" s="2"/>
      <c r="E1" s="2"/>
      <c r="F1" s="2"/>
      <c r="G1" s="2"/>
      <c r="H1" s="4"/>
      <c r="I1" s="4"/>
      <c r="J1" s="2"/>
      <c r="K1" s="2"/>
      <c r="L1" s="2"/>
      <c r="M1" s="2"/>
    </row>
    <row r="2" ht="13.5" hidden="1" customHeight="1" spans="1:13">
      <c r="A2" s="5"/>
      <c r="B2" s="6"/>
      <c r="C2" s="6"/>
      <c r="D2" s="6"/>
      <c r="E2" s="6"/>
      <c r="F2" s="6"/>
      <c r="G2" s="6"/>
      <c r="H2" s="8"/>
      <c r="I2" s="8"/>
      <c r="J2" s="6"/>
      <c r="K2" s="6"/>
      <c r="L2" s="6"/>
      <c r="M2" s="6"/>
    </row>
    <row r="3" ht="127.5" customHeight="1" spans="1:13">
      <c r="A3" s="5"/>
      <c r="B3" s="5"/>
      <c r="C3" s="29" t="s">
        <v>156</v>
      </c>
      <c r="D3" s="5"/>
      <c r="E3" s="5"/>
      <c r="F3" s="5"/>
      <c r="G3" s="5"/>
      <c r="H3" s="11"/>
      <c r="I3" s="11"/>
      <c r="J3" s="5"/>
      <c r="K3" s="5"/>
      <c r="L3" s="5"/>
      <c r="M3" s="5"/>
    </row>
    <row r="4" ht="14.1" customHeight="1" spans="1:13">
      <c r="A4" s="5"/>
      <c r="B4" s="6"/>
      <c r="C4" s="6"/>
      <c r="D4" s="6"/>
      <c r="E4" s="6"/>
      <c r="F4" s="6"/>
      <c r="G4" s="6"/>
      <c r="H4" s="8"/>
      <c r="I4" s="8"/>
      <c r="J4" s="6"/>
      <c r="K4" s="6"/>
      <c r="L4" s="6"/>
      <c r="M4" s="6"/>
    </row>
    <row r="5" ht="2.25" customHeight="1" spans="1:13">
      <c r="A5" s="5"/>
      <c r="B5" s="5"/>
      <c r="C5" s="6"/>
      <c r="D5" s="5"/>
      <c r="E5" s="5"/>
      <c r="F5" s="5"/>
      <c r="G5" s="5"/>
      <c r="H5" s="11"/>
      <c r="I5" s="11"/>
      <c r="J5" s="5"/>
      <c r="K5" s="5"/>
      <c r="L5" s="5"/>
      <c r="M5" s="5"/>
    </row>
    <row r="6" ht="13.5" hidden="1" customHeight="1" spans="1:13">
      <c r="A6" s="5"/>
      <c r="B6" s="6"/>
      <c r="C6" s="6"/>
      <c r="D6" s="6"/>
      <c r="E6" s="6"/>
      <c r="F6" s="6"/>
      <c r="G6" s="6"/>
      <c r="H6" s="8"/>
      <c r="I6" s="8"/>
      <c r="J6" s="6"/>
      <c r="K6" s="6"/>
      <c r="L6" s="6"/>
      <c r="M6" s="6"/>
    </row>
    <row r="7" ht="13.5" hidden="1" customHeight="1" spans="1:13">
      <c r="A7" s="5"/>
      <c r="B7" s="5"/>
      <c r="C7" s="6"/>
      <c r="D7" s="5"/>
      <c r="E7" s="10"/>
      <c r="F7" s="5"/>
      <c r="G7" s="5"/>
      <c r="H7" s="11"/>
      <c r="I7" s="11"/>
      <c r="J7" s="5"/>
      <c r="K7" s="5"/>
      <c r="L7" s="5"/>
      <c r="M7" s="5"/>
    </row>
    <row r="8" ht="14.1" customHeight="1" spans="1:13">
      <c r="A8" s="5"/>
      <c r="B8" s="6"/>
      <c r="C8" s="6"/>
      <c r="D8" s="12"/>
      <c r="E8" s="35">
        <v>2009</v>
      </c>
      <c r="F8" s="35">
        <v>2010</v>
      </c>
      <c r="G8" s="35">
        <v>2011</v>
      </c>
      <c r="H8" s="35">
        <v>2012</v>
      </c>
      <c r="I8" s="35">
        <v>2013</v>
      </c>
      <c r="J8" s="35">
        <v>2014</v>
      </c>
      <c r="K8" s="35">
        <v>2015</v>
      </c>
      <c r="L8" s="35">
        <v>2016</v>
      </c>
      <c r="M8" s="35">
        <v>2017</v>
      </c>
    </row>
    <row r="9" ht="14.1" customHeight="1" spans="1:13">
      <c r="A9" s="14"/>
      <c r="B9" s="15" t="s">
        <v>157</v>
      </c>
      <c r="C9" s="31"/>
      <c r="D9" s="34" t="s">
        <v>26</v>
      </c>
      <c r="E9" s="29" t="s">
        <v>27</v>
      </c>
      <c r="F9" s="18" t="s">
        <v>28</v>
      </c>
      <c r="G9" s="18" t="s">
        <v>29</v>
      </c>
      <c r="H9" s="18" t="s">
        <v>30</v>
      </c>
      <c r="I9" s="18" t="s">
        <v>31</v>
      </c>
      <c r="J9" s="18" t="s">
        <v>32</v>
      </c>
      <c r="K9" s="18" t="s">
        <v>33</v>
      </c>
      <c r="L9" s="18" t="s">
        <v>34</v>
      </c>
      <c r="M9" s="18" t="s">
        <v>35</v>
      </c>
    </row>
    <row r="10" ht="14.1" customHeight="1" spans="1:13">
      <c r="A10" s="19"/>
      <c r="B10" s="19"/>
      <c r="C10" s="20" t="s">
        <v>36</v>
      </c>
      <c r="D10" s="19"/>
      <c r="E10" s="19"/>
      <c r="F10" s="19"/>
      <c r="G10" s="19"/>
      <c r="H10" s="21"/>
      <c r="I10" s="21"/>
      <c r="J10" s="19"/>
      <c r="K10" s="19"/>
      <c r="L10" s="19"/>
      <c r="M10" s="19"/>
    </row>
    <row r="11" ht="14.1" customHeight="1" spans="1:13">
      <c r="A11" s="19"/>
      <c r="B11" s="19"/>
      <c r="C11" s="20" t="s">
        <v>158</v>
      </c>
      <c r="D11" s="19"/>
      <c r="E11" s="19"/>
      <c r="F11" s="19"/>
      <c r="G11" s="19"/>
      <c r="H11" s="21"/>
      <c r="I11" s="21"/>
      <c r="J11" s="19"/>
      <c r="K11" s="19"/>
      <c r="L11" s="19"/>
      <c r="M11" s="19"/>
    </row>
    <row r="12" ht="14.1" customHeight="1" spans="1:13">
      <c r="A12" s="22">
        <v>87</v>
      </c>
      <c r="B12" s="19"/>
      <c r="C12" s="19" t="s">
        <v>159</v>
      </c>
      <c r="D12" s="19" t="s">
        <v>39</v>
      </c>
      <c r="E12" s="24">
        <v>3550</v>
      </c>
      <c r="F12" s="24">
        <v>4000</v>
      </c>
      <c r="G12" s="19"/>
      <c r="H12" s="21"/>
      <c r="I12" s="21"/>
      <c r="J12" s="19"/>
      <c r="K12" s="19"/>
      <c r="L12" s="19"/>
      <c r="M12" s="19"/>
    </row>
    <row r="13" ht="14.1" customHeight="1" spans="1:13">
      <c r="A13" s="19"/>
      <c r="B13" s="19"/>
      <c r="C13" s="19"/>
      <c r="D13" s="19"/>
      <c r="E13" s="19"/>
      <c r="F13" s="19"/>
      <c r="G13" s="19"/>
      <c r="H13" s="21"/>
      <c r="I13" s="21"/>
      <c r="J13" s="19"/>
      <c r="K13" s="19"/>
      <c r="L13" s="19"/>
      <c r="M13" s="19"/>
    </row>
    <row r="14" ht="14.1" customHeight="1" spans="1:13">
      <c r="A14" s="22">
        <v>88</v>
      </c>
      <c r="B14" s="19"/>
      <c r="C14" s="19" t="s">
        <v>160</v>
      </c>
      <c r="D14" s="19" t="s">
        <v>39</v>
      </c>
      <c r="E14" s="24">
        <v>3213</v>
      </c>
      <c r="F14" s="24">
        <v>3600</v>
      </c>
      <c r="G14" s="19"/>
      <c r="H14" s="21"/>
      <c r="I14" s="21"/>
      <c r="J14" s="19"/>
      <c r="K14" s="19"/>
      <c r="L14" s="19"/>
      <c r="M14" s="19"/>
    </row>
    <row r="15" ht="14.1" customHeight="1" spans="1:13">
      <c r="A15" s="19"/>
      <c r="B15" s="19"/>
      <c r="C15" s="19"/>
      <c r="D15" s="19"/>
      <c r="E15" s="19"/>
      <c r="F15" s="19"/>
      <c r="G15" s="19"/>
      <c r="H15" s="21"/>
      <c r="I15" s="21"/>
      <c r="J15" s="19"/>
      <c r="K15" s="19"/>
      <c r="L15" s="19"/>
      <c r="M15" s="19"/>
    </row>
    <row r="16" ht="14.1" customHeight="1" spans="1:13">
      <c r="A16" s="22">
        <v>89</v>
      </c>
      <c r="B16" s="19"/>
      <c r="C16" s="19" t="s">
        <v>161</v>
      </c>
      <c r="D16" s="19" t="s">
        <v>39</v>
      </c>
      <c r="E16" s="24">
        <v>4088</v>
      </c>
      <c r="F16" s="24">
        <v>4392</v>
      </c>
      <c r="G16" s="24">
        <v>5348</v>
      </c>
      <c r="H16" s="23">
        <v>5739</v>
      </c>
      <c r="I16" s="21"/>
      <c r="J16" s="19"/>
      <c r="K16" s="19"/>
      <c r="L16" s="19"/>
      <c r="M16" s="19"/>
    </row>
    <row r="17" ht="14.1" customHeight="1" spans="1:13">
      <c r="A17" s="19"/>
      <c r="B17" s="19"/>
      <c r="C17" s="19"/>
      <c r="D17" s="19"/>
      <c r="E17" s="19"/>
      <c r="F17" s="19"/>
      <c r="G17" s="19"/>
      <c r="H17" s="21"/>
      <c r="I17" s="21"/>
      <c r="J17" s="19"/>
      <c r="K17" s="19"/>
      <c r="L17" s="19"/>
      <c r="M17" s="19"/>
    </row>
    <row r="18" ht="14.1" customHeight="1" spans="1:13">
      <c r="A18" s="22">
        <v>90</v>
      </c>
      <c r="B18" s="19"/>
      <c r="C18" s="19" t="s">
        <v>162</v>
      </c>
      <c r="D18" s="19" t="s">
        <v>39</v>
      </c>
      <c r="E18" s="19"/>
      <c r="F18" s="19"/>
      <c r="G18" s="19"/>
      <c r="H18" s="21"/>
      <c r="I18" s="23">
        <v>6438</v>
      </c>
      <c r="J18" s="24">
        <v>7225</v>
      </c>
      <c r="K18" s="24">
        <v>8400</v>
      </c>
      <c r="L18" s="24">
        <v>10450</v>
      </c>
      <c r="M18" s="19"/>
    </row>
    <row r="19" ht="14.1" customHeight="1" spans="1:13">
      <c r="A19" s="19"/>
      <c r="B19" s="19"/>
      <c r="C19" s="19"/>
      <c r="D19" s="19"/>
      <c r="E19" s="19"/>
      <c r="F19" s="19"/>
      <c r="G19" s="19"/>
      <c r="H19" s="21"/>
      <c r="I19" s="21"/>
      <c r="J19" s="19"/>
      <c r="K19" s="19"/>
      <c r="L19" s="19"/>
      <c r="M19" s="19"/>
    </row>
    <row r="20" ht="14.1" customHeight="1" spans="1:13">
      <c r="A20" s="22">
        <v>91</v>
      </c>
      <c r="B20" s="19"/>
      <c r="C20" s="19" t="s">
        <v>163</v>
      </c>
      <c r="D20" s="19" t="s">
        <v>39</v>
      </c>
      <c r="E20" s="19"/>
      <c r="F20" s="19"/>
      <c r="G20" s="19"/>
      <c r="H20" s="21"/>
      <c r="I20" s="21"/>
      <c r="J20" s="19"/>
      <c r="K20" s="24">
        <v>10738</v>
      </c>
      <c r="L20" s="24">
        <v>13138</v>
      </c>
      <c r="M20" s="24">
        <v>15109</v>
      </c>
    </row>
    <row r="21" ht="14.1" customHeight="1" spans="1:13">
      <c r="A21" s="19"/>
      <c r="B21" s="19"/>
      <c r="C21" s="19"/>
      <c r="D21" s="19"/>
      <c r="E21" s="19"/>
      <c r="F21" s="19"/>
      <c r="G21" s="19"/>
      <c r="H21" s="21"/>
      <c r="I21" s="21"/>
      <c r="J21" s="19"/>
      <c r="K21" s="19"/>
      <c r="L21" s="19"/>
      <c r="M21" s="19"/>
    </row>
    <row r="22" ht="14.1" customHeight="1" spans="1:13">
      <c r="A22" s="19"/>
      <c r="B22" s="19"/>
      <c r="C22" s="20" t="s">
        <v>164</v>
      </c>
      <c r="D22" s="19"/>
      <c r="E22" s="19"/>
      <c r="F22" s="19"/>
      <c r="G22" s="19"/>
      <c r="H22" s="21"/>
      <c r="I22" s="21"/>
      <c r="J22" s="19"/>
      <c r="K22" s="19"/>
      <c r="L22" s="19"/>
      <c r="M22" s="19"/>
    </row>
    <row r="23" ht="14.1" customHeight="1" spans="1:13">
      <c r="A23" s="22">
        <v>92</v>
      </c>
      <c r="B23" s="19"/>
      <c r="C23" s="19" t="s">
        <v>165</v>
      </c>
      <c r="D23" s="19" t="s">
        <v>39</v>
      </c>
      <c r="E23" s="19"/>
      <c r="F23" s="19"/>
      <c r="G23" s="19"/>
      <c r="H23" s="21"/>
      <c r="I23" s="21"/>
      <c r="J23" s="19"/>
      <c r="K23" s="19"/>
      <c r="L23" s="19"/>
      <c r="M23" s="24">
        <v>17179</v>
      </c>
    </row>
    <row r="24" ht="14.1" customHeight="1" spans="1:13">
      <c r="A24" s="19"/>
      <c r="B24" s="19"/>
      <c r="C24" s="19"/>
      <c r="D24" s="19"/>
      <c r="E24" s="19"/>
      <c r="F24" s="19"/>
      <c r="G24" s="19"/>
      <c r="H24" s="21"/>
      <c r="I24" s="21"/>
      <c r="J24" s="19"/>
      <c r="K24" s="19"/>
      <c r="L24" s="19"/>
      <c r="M24" s="19"/>
    </row>
    <row r="25" ht="14.1" customHeight="1" spans="1:13">
      <c r="A25" s="22">
        <v>93</v>
      </c>
      <c r="B25" s="19"/>
      <c r="C25" s="19" t="s">
        <v>166</v>
      </c>
      <c r="D25" s="19" t="s">
        <v>39</v>
      </c>
      <c r="E25" s="24">
        <v>3138</v>
      </c>
      <c r="F25" s="24">
        <v>3617</v>
      </c>
      <c r="G25" s="24">
        <v>4625</v>
      </c>
      <c r="H25" s="23">
        <v>5108</v>
      </c>
      <c r="I25" s="23">
        <v>6692</v>
      </c>
      <c r="J25" s="24">
        <v>7669</v>
      </c>
      <c r="K25" s="24">
        <v>9738</v>
      </c>
      <c r="L25" s="24">
        <v>12000</v>
      </c>
      <c r="M25" s="24">
        <v>13800</v>
      </c>
    </row>
    <row r="26" ht="14.1" customHeight="1" spans="1:13">
      <c r="A26" s="19"/>
      <c r="B26" s="19"/>
      <c r="C26" s="19"/>
      <c r="D26" s="19"/>
      <c r="E26" s="19"/>
      <c r="F26" s="19"/>
      <c r="G26" s="19"/>
      <c r="H26" s="21"/>
      <c r="I26" s="21"/>
      <c r="J26" s="19"/>
      <c r="K26" s="19"/>
      <c r="L26" s="19"/>
      <c r="M26" s="19"/>
    </row>
    <row r="27" ht="14.1" customHeight="1" spans="1:13">
      <c r="A27" s="22">
        <v>94</v>
      </c>
      <c r="B27" s="19"/>
      <c r="C27" s="19" t="s">
        <v>167</v>
      </c>
      <c r="D27" s="19" t="s">
        <v>39</v>
      </c>
      <c r="E27" s="19"/>
      <c r="F27" s="19"/>
      <c r="G27" s="19"/>
      <c r="H27" s="21"/>
      <c r="I27" s="21"/>
      <c r="J27" s="19"/>
      <c r="K27" s="19"/>
      <c r="L27" s="24">
        <v>13308</v>
      </c>
      <c r="M27" s="19"/>
    </row>
    <row r="28" ht="14.1" customHeight="1" spans="1:13">
      <c r="A28" s="19"/>
      <c r="B28" s="19"/>
      <c r="C28" s="19"/>
      <c r="D28" s="19"/>
      <c r="E28" s="19"/>
      <c r="F28" s="19"/>
      <c r="G28" s="19"/>
      <c r="H28" s="21"/>
      <c r="I28" s="21"/>
      <c r="J28" s="19"/>
      <c r="K28" s="19"/>
      <c r="L28" s="19"/>
      <c r="M28" s="19"/>
    </row>
    <row r="29" ht="14.1" customHeight="1" spans="1:13">
      <c r="A29" s="22">
        <v>95</v>
      </c>
      <c r="B29" s="19"/>
      <c r="C29" s="19" t="s">
        <v>168</v>
      </c>
      <c r="D29" s="19" t="s">
        <v>39</v>
      </c>
      <c r="E29" s="19"/>
      <c r="F29" s="19"/>
      <c r="G29" s="19"/>
      <c r="H29" s="21"/>
      <c r="I29" s="21"/>
      <c r="J29" s="19"/>
      <c r="K29" s="19"/>
      <c r="L29" s="19"/>
      <c r="M29" s="24">
        <v>24081</v>
      </c>
    </row>
    <row r="30" ht="14.1" customHeight="1" spans="1:13">
      <c r="A30" s="19"/>
      <c r="B30" s="19"/>
      <c r="C30" s="19"/>
      <c r="D30" s="19"/>
      <c r="E30" s="19"/>
      <c r="F30" s="19"/>
      <c r="G30" s="19"/>
      <c r="H30" s="21"/>
      <c r="I30" s="21"/>
      <c r="J30" s="19"/>
      <c r="K30" s="19"/>
      <c r="L30" s="19"/>
      <c r="M30" s="19"/>
    </row>
    <row r="31" ht="14.1" customHeight="1" spans="1:13">
      <c r="A31" s="22">
        <v>96</v>
      </c>
      <c r="B31" s="19"/>
      <c r="C31" s="19" t="s">
        <v>169</v>
      </c>
      <c r="D31" s="19" t="s">
        <v>39</v>
      </c>
      <c r="E31" s="24">
        <v>3533</v>
      </c>
      <c r="F31" s="24">
        <v>3858</v>
      </c>
      <c r="G31" s="24">
        <v>5544</v>
      </c>
      <c r="H31" s="23">
        <v>6056</v>
      </c>
      <c r="I31" s="23">
        <v>7413</v>
      </c>
      <c r="J31" s="24">
        <v>8531</v>
      </c>
      <c r="K31" s="24">
        <v>11305</v>
      </c>
      <c r="L31" s="24">
        <v>13790</v>
      </c>
      <c r="M31" s="19"/>
    </row>
    <row r="32" ht="14.1" customHeight="1" spans="1:13">
      <c r="A32" s="19"/>
      <c r="B32" s="19"/>
      <c r="C32" s="19"/>
      <c r="D32" s="19"/>
      <c r="E32" s="19"/>
      <c r="F32" s="19"/>
      <c r="G32" s="19"/>
      <c r="H32" s="21"/>
      <c r="I32" s="21"/>
      <c r="J32" s="19"/>
      <c r="K32" s="19"/>
      <c r="L32" s="19"/>
      <c r="M32" s="19"/>
    </row>
    <row r="33" ht="14.1" customHeight="1" spans="1:13">
      <c r="A33" s="22">
        <v>97</v>
      </c>
      <c r="B33" s="19"/>
      <c r="C33" s="19" t="s">
        <v>170</v>
      </c>
      <c r="D33" s="19" t="s">
        <v>39</v>
      </c>
      <c r="E33" s="24">
        <v>3350</v>
      </c>
      <c r="F33" s="24">
        <v>4442</v>
      </c>
      <c r="G33" s="24">
        <v>5413</v>
      </c>
      <c r="H33" s="23">
        <v>6140</v>
      </c>
      <c r="I33" s="23">
        <v>6960</v>
      </c>
      <c r="J33" s="24">
        <v>8055</v>
      </c>
      <c r="K33" s="24">
        <v>9942</v>
      </c>
      <c r="L33" s="24">
        <v>14175</v>
      </c>
      <c r="M33" s="24">
        <v>16301</v>
      </c>
    </row>
    <row r="34" ht="14.1" customHeight="1" spans="1:13">
      <c r="A34" s="19"/>
      <c r="B34" s="19"/>
      <c r="C34" s="19"/>
      <c r="D34" s="19"/>
      <c r="E34" s="19"/>
      <c r="F34" s="19"/>
      <c r="G34" s="19"/>
      <c r="H34" s="21"/>
      <c r="I34" s="21"/>
      <c r="J34" s="19"/>
      <c r="K34" s="19"/>
      <c r="L34" s="19"/>
      <c r="M34" s="19"/>
    </row>
    <row r="35" ht="14.1" customHeight="1" spans="1:13">
      <c r="A35" s="22">
        <v>98</v>
      </c>
      <c r="B35" s="19"/>
      <c r="C35" s="19" t="s">
        <v>171</v>
      </c>
      <c r="D35" s="19" t="s">
        <v>39</v>
      </c>
      <c r="E35" s="24">
        <v>3775</v>
      </c>
      <c r="F35" s="19"/>
      <c r="G35" s="19"/>
      <c r="H35" s="21"/>
      <c r="I35" s="21"/>
      <c r="J35" s="19"/>
      <c r="K35" s="19"/>
      <c r="L35" s="19"/>
      <c r="M35" s="19"/>
    </row>
    <row r="36" ht="14.1" customHeight="1" spans="1:13">
      <c r="A36" s="19"/>
      <c r="B36" s="19"/>
      <c r="C36" s="19"/>
      <c r="D36" s="19"/>
      <c r="E36" s="19"/>
      <c r="F36" s="19"/>
      <c r="G36" s="19"/>
      <c r="H36" s="21"/>
      <c r="I36" s="21"/>
      <c r="J36" s="19"/>
      <c r="K36" s="19"/>
      <c r="L36" s="19"/>
      <c r="M36" s="19"/>
    </row>
    <row r="37" ht="14.1" customHeight="1" spans="1:13">
      <c r="A37" s="22">
        <v>99</v>
      </c>
      <c r="B37" s="19"/>
      <c r="C37" s="19" t="s">
        <v>172</v>
      </c>
      <c r="D37" s="19" t="s">
        <v>39</v>
      </c>
      <c r="E37" s="19"/>
      <c r="F37" s="19"/>
      <c r="G37" s="19"/>
      <c r="H37" s="21"/>
      <c r="I37" s="21"/>
      <c r="J37" s="19"/>
      <c r="K37" s="19"/>
      <c r="L37" s="19"/>
      <c r="M37" s="24">
        <v>28625</v>
      </c>
    </row>
    <row r="38" ht="14.1" customHeight="1" spans="1:13">
      <c r="A38" s="19"/>
      <c r="B38" s="19"/>
      <c r="C38" s="19"/>
      <c r="D38" s="19"/>
      <c r="E38" s="19"/>
      <c r="F38" s="19"/>
      <c r="G38" s="19"/>
      <c r="H38" s="21"/>
      <c r="I38" s="21"/>
      <c r="J38" s="19"/>
      <c r="K38" s="19"/>
      <c r="L38" s="19"/>
      <c r="M38" s="19"/>
    </row>
    <row r="39" ht="14.1" customHeight="1" spans="1:13">
      <c r="A39" s="22">
        <v>100</v>
      </c>
      <c r="B39" s="19"/>
      <c r="C39" s="19" t="s">
        <v>173</v>
      </c>
      <c r="D39" s="19" t="s">
        <v>39</v>
      </c>
      <c r="E39" s="19"/>
      <c r="F39" s="19"/>
      <c r="G39" s="19"/>
      <c r="H39" s="21"/>
      <c r="I39" s="21"/>
      <c r="J39" s="19"/>
      <c r="K39" s="19"/>
      <c r="L39" s="19"/>
      <c r="M39" s="24">
        <v>30606</v>
      </c>
    </row>
    <row r="40" ht="14.1" customHeight="1" spans="1:13">
      <c r="A40" s="19"/>
      <c r="B40" s="19"/>
      <c r="C40" s="19"/>
      <c r="D40" s="19"/>
      <c r="E40" s="19"/>
      <c r="F40" s="19"/>
      <c r="G40" s="19"/>
      <c r="H40" s="21"/>
      <c r="I40" s="21"/>
      <c r="J40" s="19"/>
      <c r="K40" s="19"/>
      <c r="L40" s="19"/>
      <c r="M40" s="19"/>
    </row>
    <row r="41" ht="14.1" customHeight="1" spans="1:13">
      <c r="A41" s="22">
        <v>101</v>
      </c>
      <c r="B41" s="19"/>
      <c r="C41" s="19" t="s">
        <v>174</v>
      </c>
      <c r="D41" s="19" t="s">
        <v>39</v>
      </c>
      <c r="E41" s="19"/>
      <c r="F41" s="19"/>
      <c r="G41" s="19"/>
      <c r="H41" s="23">
        <v>7845</v>
      </c>
      <c r="I41" s="23">
        <v>8670</v>
      </c>
      <c r="J41" s="24">
        <v>9531</v>
      </c>
      <c r="K41" s="24">
        <v>12150</v>
      </c>
      <c r="L41" s="24">
        <v>15119</v>
      </c>
      <c r="M41" s="24">
        <v>17387</v>
      </c>
    </row>
    <row r="42" ht="14.1" customHeight="1" spans="1:13">
      <c r="A42" s="19"/>
      <c r="B42" s="19"/>
      <c r="C42" s="19"/>
      <c r="D42" s="19"/>
      <c r="E42" s="19"/>
      <c r="F42" s="19"/>
      <c r="G42" s="19"/>
      <c r="H42" s="21"/>
      <c r="I42" s="21"/>
      <c r="J42" s="19"/>
      <c r="K42" s="19"/>
      <c r="L42" s="19"/>
      <c r="M42" s="19"/>
    </row>
    <row r="43" ht="14.1" customHeight="1" spans="1:13">
      <c r="A43" s="22">
        <v>102</v>
      </c>
      <c r="B43" s="19"/>
      <c r="C43" s="19" t="s">
        <v>175</v>
      </c>
      <c r="D43" s="19" t="s">
        <v>39</v>
      </c>
      <c r="E43" s="19"/>
      <c r="F43" s="19"/>
      <c r="G43" s="19"/>
      <c r="H43" s="21"/>
      <c r="I43" s="21"/>
      <c r="J43" s="19"/>
      <c r="K43" s="19"/>
      <c r="L43" s="19"/>
      <c r="M43" s="24">
        <v>30400</v>
      </c>
    </row>
    <row r="44" ht="14.1" customHeight="1" spans="1:13">
      <c r="A44" s="19"/>
      <c r="B44" s="19"/>
      <c r="C44" s="19"/>
      <c r="D44" s="19"/>
      <c r="E44" s="19"/>
      <c r="F44" s="19"/>
      <c r="G44" s="19"/>
      <c r="H44" s="21"/>
      <c r="I44" s="21"/>
      <c r="J44" s="19"/>
      <c r="K44" s="19"/>
      <c r="L44" s="19"/>
      <c r="M44" s="19"/>
    </row>
    <row r="45" ht="14.1" customHeight="1" spans="1:13">
      <c r="A45" s="19"/>
      <c r="B45" s="19"/>
      <c r="C45" s="20" t="s">
        <v>176</v>
      </c>
      <c r="D45" s="19"/>
      <c r="E45" s="19"/>
      <c r="F45" s="19"/>
      <c r="G45" s="19"/>
      <c r="H45" s="21"/>
      <c r="I45" s="21"/>
      <c r="J45" s="19"/>
      <c r="K45" s="19"/>
      <c r="L45" s="19"/>
      <c r="M45" s="19"/>
    </row>
    <row r="46" ht="14.1" customHeight="1" spans="1:13">
      <c r="A46" s="22">
        <v>103</v>
      </c>
      <c r="B46" s="19"/>
      <c r="C46" s="19" t="s">
        <v>177</v>
      </c>
      <c r="D46" s="19" t="s">
        <v>39</v>
      </c>
      <c r="E46" s="19"/>
      <c r="F46" s="19"/>
      <c r="G46" s="19"/>
      <c r="H46" s="21"/>
      <c r="I46" s="21"/>
      <c r="J46" s="19"/>
      <c r="K46" s="19"/>
      <c r="L46" s="19"/>
      <c r="M46" s="24">
        <v>18906</v>
      </c>
    </row>
    <row r="47" ht="14.1" customHeight="1" spans="1:13">
      <c r="A47" s="19"/>
      <c r="B47" s="19"/>
      <c r="C47" s="19"/>
      <c r="D47" s="19"/>
      <c r="E47" s="19"/>
      <c r="F47" s="19"/>
      <c r="G47" s="19"/>
      <c r="H47" s="21"/>
      <c r="I47" s="21"/>
      <c r="J47" s="19"/>
      <c r="K47" s="19"/>
      <c r="L47" s="19"/>
      <c r="M47" s="19"/>
    </row>
    <row r="48" ht="14.1" customHeight="1" spans="1:13">
      <c r="A48" s="22">
        <v>104</v>
      </c>
      <c r="B48" s="19"/>
      <c r="C48" s="19" t="s">
        <v>178</v>
      </c>
      <c r="D48" s="19" t="s">
        <v>39</v>
      </c>
      <c r="E48" s="24">
        <v>4689</v>
      </c>
      <c r="F48" s="24">
        <v>6079</v>
      </c>
      <c r="G48" s="24">
        <v>7892</v>
      </c>
      <c r="H48" s="23">
        <v>8769</v>
      </c>
      <c r="I48" s="23">
        <v>9858</v>
      </c>
      <c r="J48" s="24">
        <v>10823</v>
      </c>
      <c r="K48" s="24">
        <v>12703</v>
      </c>
      <c r="L48" s="24">
        <v>14865</v>
      </c>
      <c r="M48" s="24">
        <v>17095</v>
      </c>
    </row>
    <row r="49" ht="14.1" customHeight="1" spans="1:13">
      <c r="A49" s="19"/>
      <c r="B49" s="19"/>
      <c r="C49" s="19"/>
      <c r="D49" s="19"/>
      <c r="E49" s="19"/>
      <c r="F49" s="19"/>
      <c r="G49" s="19"/>
      <c r="H49" s="21"/>
      <c r="I49" s="21"/>
      <c r="J49" s="19"/>
      <c r="K49" s="19"/>
      <c r="L49" s="19"/>
      <c r="M49" s="19"/>
    </row>
    <row r="50" ht="14.1" customHeight="1" spans="1:13">
      <c r="A50" s="22">
        <v>105</v>
      </c>
      <c r="B50" s="19"/>
      <c r="C50" s="19" t="s">
        <v>179</v>
      </c>
      <c r="D50" s="19" t="s">
        <v>39</v>
      </c>
      <c r="E50" s="24">
        <v>5175</v>
      </c>
      <c r="F50" s="24">
        <v>5738</v>
      </c>
      <c r="G50" s="24">
        <v>6688</v>
      </c>
      <c r="H50" s="23">
        <v>7492</v>
      </c>
      <c r="I50" s="23">
        <v>8600</v>
      </c>
      <c r="J50" s="24">
        <v>9725</v>
      </c>
      <c r="K50" s="24">
        <v>15975</v>
      </c>
      <c r="L50" s="24">
        <v>17988</v>
      </c>
      <c r="M50" s="24">
        <v>20686</v>
      </c>
    </row>
    <row r="51" ht="14.1" customHeight="1" spans="1:13">
      <c r="A51" s="19"/>
      <c r="B51" s="19"/>
      <c r="C51" s="19"/>
      <c r="D51" s="19"/>
      <c r="E51" s="19"/>
      <c r="F51" s="19"/>
      <c r="G51" s="19"/>
      <c r="H51" s="21"/>
      <c r="I51" s="21"/>
      <c r="J51" s="19"/>
      <c r="K51" s="19"/>
      <c r="L51" s="19"/>
      <c r="M51" s="19"/>
    </row>
    <row r="52" ht="14.1" customHeight="1" spans="1:13">
      <c r="A52" s="22">
        <v>106</v>
      </c>
      <c r="B52" s="19"/>
      <c r="C52" s="19" t="s">
        <v>180</v>
      </c>
      <c r="D52" s="19" t="s">
        <v>39</v>
      </c>
      <c r="E52" s="24">
        <v>8208</v>
      </c>
      <c r="F52" s="24">
        <v>8915</v>
      </c>
      <c r="G52" s="24">
        <v>9720</v>
      </c>
      <c r="H52" s="23">
        <v>10550</v>
      </c>
      <c r="I52" s="23">
        <v>11925</v>
      </c>
      <c r="J52" s="24">
        <v>12050</v>
      </c>
      <c r="K52" s="24">
        <v>12788</v>
      </c>
      <c r="L52" s="24">
        <v>15275</v>
      </c>
      <c r="M52" s="19"/>
    </row>
    <row r="53" ht="14.1" customHeight="1" spans="1:13">
      <c r="A53" s="19"/>
      <c r="B53" s="19"/>
      <c r="C53" s="19"/>
      <c r="D53" s="19"/>
      <c r="E53" s="19"/>
      <c r="F53" s="19"/>
      <c r="G53" s="19"/>
      <c r="H53" s="21"/>
      <c r="I53" s="21"/>
      <c r="J53" s="19"/>
      <c r="K53" s="19"/>
      <c r="L53" s="19"/>
      <c r="M53" s="19"/>
    </row>
    <row r="54" ht="14.1" customHeight="1" spans="1:13">
      <c r="A54" s="19"/>
      <c r="B54" s="19"/>
      <c r="C54" s="20" t="s">
        <v>181</v>
      </c>
      <c r="D54" s="19"/>
      <c r="E54" s="19"/>
      <c r="F54" s="19"/>
      <c r="G54" s="19"/>
      <c r="H54" s="21"/>
      <c r="I54" s="21"/>
      <c r="J54" s="19"/>
      <c r="K54" s="19"/>
      <c r="L54" s="19"/>
      <c r="M54" s="19"/>
    </row>
    <row r="55" ht="14.1" customHeight="1" spans="1:13">
      <c r="A55" s="22">
        <v>107</v>
      </c>
      <c r="B55" s="19"/>
      <c r="C55" s="19" t="s">
        <v>182</v>
      </c>
      <c r="D55" s="19" t="s">
        <v>39</v>
      </c>
      <c r="E55" s="19"/>
      <c r="F55" s="19"/>
      <c r="G55" s="19"/>
      <c r="H55" s="21"/>
      <c r="I55" s="21"/>
      <c r="J55" s="19"/>
      <c r="K55" s="19"/>
      <c r="L55" s="19"/>
      <c r="M55" s="24">
        <v>12113</v>
      </c>
    </row>
    <row r="56" ht="14.1" customHeight="1" spans="1:13">
      <c r="A56" s="19"/>
      <c r="B56" s="19"/>
      <c r="C56" s="19"/>
      <c r="D56" s="19"/>
      <c r="E56" s="19"/>
      <c r="F56" s="19"/>
      <c r="G56" s="19"/>
      <c r="H56" s="21"/>
      <c r="I56" s="21"/>
      <c r="J56" s="19"/>
      <c r="K56" s="19"/>
      <c r="L56" s="19"/>
      <c r="M56" s="19"/>
    </row>
    <row r="57" ht="14.1" customHeight="1" spans="1:13">
      <c r="A57" s="22">
        <v>108</v>
      </c>
      <c r="B57" s="19"/>
      <c r="C57" s="19" t="s">
        <v>183</v>
      </c>
      <c r="D57" s="19" t="s">
        <v>39</v>
      </c>
      <c r="E57" s="19"/>
      <c r="F57" s="19"/>
      <c r="G57" s="19"/>
      <c r="H57" s="21"/>
      <c r="I57" s="21"/>
      <c r="J57" s="19"/>
      <c r="K57" s="19"/>
      <c r="L57" s="19"/>
      <c r="M57" s="24">
        <v>10500</v>
      </c>
    </row>
    <row r="58" ht="14.1" customHeight="1" spans="1:13">
      <c r="A58" s="19"/>
      <c r="B58" s="19"/>
      <c r="C58" s="19"/>
      <c r="D58" s="19"/>
      <c r="E58" s="19"/>
      <c r="F58" s="19"/>
      <c r="G58" s="19"/>
      <c r="H58" s="21"/>
      <c r="I58" s="21"/>
      <c r="J58" s="19"/>
      <c r="K58" s="19"/>
      <c r="L58" s="19"/>
      <c r="M58" s="19"/>
    </row>
    <row r="59" ht="14.1" customHeight="1" spans="1:13">
      <c r="A59" s="19"/>
      <c r="B59" s="19"/>
      <c r="C59" s="20" t="s">
        <v>184</v>
      </c>
      <c r="D59" s="19"/>
      <c r="E59" s="19"/>
      <c r="F59" s="19"/>
      <c r="G59" s="19"/>
      <c r="H59" s="21"/>
      <c r="I59" s="21"/>
      <c r="J59" s="19"/>
      <c r="K59" s="19"/>
      <c r="L59" s="19"/>
      <c r="M59" s="19"/>
    </row>
    <row r="60" ht="14.1" customHeight="1" spans="1:13">
      <c r="A60" s="22">
        <v>109</v>
      </c>
      <c r="B60" s="19"/>
      <c r="C60" s="19" t="s">
        <v>185</v>
      </c>
      <c r="D60" s="19" t="s">
        <v>39</v>
      </c>
      <c r="E60" s="19"/>
      <c r="F60" s="19"/>
      <c r="G60" s="19"/>
      <c r="H60" s="21"/>
      <c r="I60" s="21"/>
      <c r="J60" s="19"/>
      <c r="K60" s="19"/>
      <c r="L60" s="24">
        <v>10575</v>
      </c>
      <c r="M60" s="24">
        <v>12161</v>
      </c>
    </row>
    <row r="61" ht="14.1" customHeight="1" spans="1:13">
      <c r="A61" s="19"/>
      <c r="B61" s="19"/>
      <c r="C61" s="19"/>
      <c r="D61" s="19"/>
      <c r="E61" s="19"/>
      <c r="F61" s="19"/>
      <c r="G61" s="19"/>
      <c r="H61" s="21"/>
      <c r="I61" s="21"/>
      <c r="J61" s="19"/>
      <c r="K61" s="19"/>
      <c r="L61" s="19"/>
      <c r="M61" s="19"/>
    </row>
    <row r="62" ht="14.1" customHeight="1" spans="1:13">
      <c r="A62" s="19"/>
      <c r="B62" s="19"/>
      <c r="C62" s="20" t="s">
        <v>37</v>
      </c>
      <c r="D62" s="19"/>
      <c r="E62" s="19"/>
      <c r="F62" s="19"/>
      <c r="G62" s="19"/>
      <c r="H62" s="21"/>
      <c r="I62" s="21"/>
      <c r="J62" s="19"/>
      <c r="K62" s="19"/>
      <c r="L62" s="19"/>
      <c r="M62" s="19"/>
    </row>
    <row r="63" ht="14.1" customHeight="1" spans="1:13">
      <c r="A63" s="22">
        <v>110</v>
      </c>
      <c r="B63" s="19"/>
      <c r="C63" s="19" t="s">
        <v>186</v>
      </c>
      <c r="D63" s="19" t="s">
        <v>39</v>
      </c>
      <c r="E63" s="19"/>
      <c r="F63" s="19"/>
      <c r="G63" s="19"/>
      <c r="H63" s="21"/>
      <c r="I63" s="21"/>
      <c r="J63" s="19"/>
      <c r="K63" s="24">
        <v>3613</v>
      </c>
      <c r="L63" s="24">
        <v>4008</v>
      </c>
      <c r="M63" s="24">
        <v>4609</v>
      </c>
    </row>
    <row r="64" ht="14.1" customHeight="1" spans="1:13">
      <c r="A64" s="19"/>
      <c r="B64" s="19"/>
      <c r="C64" s="19"/>
      <c r="D64" s="19"/>
      <c r="E64" s="19"/>
      <c r="F64" s="19"/>
      <c r="G64" s="19"/>
      <c r="H64" s="21"/>
      <c r="I64" s="21"/>
      <c r="J64" s="19"/>
      <c r="K64" s="19"/>
      <c r="L64" s="19"/>
      <c r="M64" s="19"/>
    </row>
    <row r="65" ht="14.1" customHeight="1" spans="1:13">
      <c r="A65" s="22">
        <v>111</v>
      </c>
      <c r="B65" s="19"/>
      <c r="C65" s="19" t="s">
        <v>187</v>
      </c>
      <c r="D65" s="19" t="s">
        <v>39</v>
      </c>
      <c r="E65" s="24">
        <v>1950</v>
      </c>
      <c r="F65" s="24">
        <v>2196</v>
      </c>
      <c r="G65" s="24">
        <v>2440</v>
      </c>
      <c r="H65" s="23">
        <v>2488</v>
      </c>
      <c r="I65" s="23">
        <v>2919</v>
      </c>
      <c r="J65" s="24">
        <v>3625</v>
      </c>
      <c r="K65" s="24">
        <v>3908</v>
      </c>
      <c r="L65" s="24">
        <v>4350</v>
      </c>
      <c r="M65" s="19"/>
    </row>
    <row r="66" ht="14.1" customHeight="1" spans="1:13">
      <c r="A66" s="19"/>
      <c r="B66" s="19"/>
      <c r="C66" s="19"/>
      <c r="D66" s="19"/>
      <c r="E66" s="19"/>
      <c r="F66" s="19"/>
      <c r="G66" s="19"/>
      <c r="H66" s="21"/>
      <c r="I66" s="21"/>
      <c r="J66" s="19"/>
      <c r="K66" s="19"/>
      <c r="L66" s="19"/>
      <c r="M66" s="19"/>
    </row>
    <row r="67" ht="14.1" customHeight="1" spans="1:13">
      <c r="A67" s="22">
        <v>112</v>
      </c>
      <c r="B67" s="19"/>
      <c r="C67" s="19" t="s">
        <v>188</v>
      </c>
      <c r="D67" s="19" t="s">
        <v>39</v>
      </c>
      <c r="E67" s="19"/>
      <c r="F67" s="19"/>
      <c r="G67" s="19"/>
      <c r="H67" s="21"/>
      <c r="I67" s="21"/>
      <c r="J67" s="19"/>
      <c r="K67" s="24">
        <v>4000</v>
      </c>
      <c r="L67" s="24">
        <v>4700</v>
      </c>
      <c r="M67" s="19"/>
    </row>
    <row r="68" ht="14.1" customHeight="1" spans="1:13">
      <c r="A68" s="19"/>
      <c r="B68" s="19"/>
      <c r="C68" s="19"/>
      <c r="D68" s="19"/>
      <c r="E68" s="19"/>
      <c r="F68" s="19"/>
      <c r="G68" s="19"/>
      <c r="H68" s="21"/>
      <c r="I68" s="21"/>
      <c r="J68" s="19"/>
      <c r="K68" s="19"/>
      <c r="L68" s="19"/>
      <c r="M68" s="19"/>
    </row>
    <row r="69" ht="14.1" customHeight="1" spans="1:13">
      <c r="A69" s="22">
        <v>113</v>
      </c>
      <c r="B69" s="19"/>
      <c r="C69" s="19" t="s">
        <v>189</v>
      </c>
      <c r="D69" s="19" t="s">
        <v>39</v>
      </c>
      <c r="E69" s="19"/>
      <c r="F69" s="19"/>
      <c r="G69" s="19"/>
      <c r="H69" s="21"/>
      <c r="I69" s="21"/>
      <c r="J69" s="19"/>
      <c r="K69" s="19"/>
      <c r="L69" s="19"/>
      <c r="M69" s="24">
        <v>9500</v>
      </c>
    </row>
    <row r="70" ht="14.1" customHeight="1" spans="1:13">
      <c r="A70" s="19"/>
      <c r="B70" s="19"/>
      <c r="C70" s="19"/>
      <c r="D70" s="19"/>
      <c r="E70" s="19"/>
      <c r="F70" s="19"/>
      <c r="G70" s="19"/>
      <c r="H70" s="21"/>
      <c r="I70" s="21"/>
      <c r="J70" s="19"/>
      <c r="K70" s="19"/>
      <c r="L70" s="19"/>
      <c r="M70" s="19"/>
    </row>
    <row r="71" ht="14.1" customHeight="1" spans="1:13">
      <c r="A71" s="22">
        <v>114</v>
      </c>
      <c r="B71" s="19"/>
      <c r="C71" s="19" t="s">
        <v>190</v>
      </c>
      <c r="D71" s="19" t="s">
        <v>39</v>
      </c>
      <c r="E71" s="19"/>
      <c r="F71" s="19"/>
      <c r="G71" s="19"/>
      <c r="H71" s="21"/>
      <c r="I71" s="21"/>
      <c r="J71" s="19"/>
      <c r="K71" s="19"/>
      <c r="L71" s="19"/>
      <c r="M71" s="24">
        <v>9946</v>
      </c>
    </row>
    <row r="72" ht="14.1" customHeight="1" spans="1:13">
      <c r="A72" s="19"/>
      <c r="B72" s="19"/>
      <c r="C72" s="19"/>
      <c r="D72" s="19"/>
      <c r="E72" s="19"/>
      <c r="F72" s="19"/>
      <c r="G72" s="19"/>
      <c r="H72" s="21"/>
      <c r="I72" s="21"/>
      <c r="J72" s="19"/>
      <c r="K72" s="19"/>
      <c r="L72" s="19"/>
      <c r="M72" s="19"/>
    </row>
    <row r="73" ht="14.1" customHeight="1" spans="1:13">
      <c r="A73" s="22">
        <v>115</v>
      </c>
      <c r="B73" s="19"/>
      <c r="C73" s="19" t="s">
        <v>191</v>
      </c>
      <c r="D73" s="19" t="s">
        <v>39</v>
      </c>
      <c r="E73" s="19"/>
      <c r="F73" s="19"/>
      <c r="G73" s="19"/>
      <c r="H73" s="21"/>
      <c r="I73" s="21"/>
      <c r="J73" s="19"/>
      <c r="K73" s="19"/>
      <c r="L73" s="24">
        <v>5700</v>
      </c>
      <c r="M73" s="24">
        <v>6555</v>
      </c>
    </row>
    <row r="74" ht="14.1" customHeight="1" spans="1:13">
      <c r="A74" s="19"/>
      <c r="B74" s="19"/>
      <c r="C74" s="19"/>
      <c r="D74" s="19"/>
      <c r="E74" s="19"/>
      <c r="F74" s="19"/>
      <c r="G74" s="19"/>
      <c r="H74" s="21"/>
      <c r="I74" s="21"/>
      <c r="J74" s="19"/>
      <c r="K74" s="19"/>
      <c r="L74" s="19"/>
      <c r="M74" s="19"/>
    </row>
    <row r="75" ht="14.1" customHeight="1" spans="1:13">
      <c r="A75" s="22">
        <v>116</v>
      </c>
      <c r="B75" s="19"/>
      <c r="C75" s="19" t="s">
        <v>192</v>
      </c>
      <c r="D75" s="19" t="s">
        <v>39</v>
      </c>
      <c r="E75" s="24">
        <v>2138</v>
      </c>
      <c r="F75" s="24">
        <v>2363</v>
      </c>
      <c r="G75" s="24">
        <v>2625</v>
      </c>
      <c r="H75" s="23">
        <v>2950</v>
      </c>
      <c r="I75" s="23">
        <v>3163</v>
      </c>
      <c r="J75" s="19"/>
      <c r="K75" s="19"/>
      <c r="L75" s="19"/>
      <c r="M75" s="19"/>
    </row>
    <row r="76" ht="14.1" customHeight="1" spans="1:13">
      <c r="A76" s="19"/>
      <c r="B76" s="19"/>
      <c r="C76" s="19"/>
      <c r="D76" s="19"/>
      <c r="E76" s="19"/>
      <c r="F76" s="19"/>
      <c r="G76" s="19"/>
      <c r="H76" s="21"/>
      <c r="I76" s="21"/>
      <c r="J76" s="19"/>
      <c r="K76" s="19"/>
      <c r="L76" s="19"/>
      <c r="M76" s="19"/>
    </row>
    <row r="77" ht="14.1" customHeight="1" spans="1:13">
      <c r="A77" s="19"/>
      <c r="B77" s="19"/>
      <c r="C77" s="20" t="s">
        <v>193</v>
      </c>
      <c r="D77" s="19"/>
      <c r="E77" s="19"/>
      <c r="F77" s="19"/>
      <c r="G77" s="19"/>
      <c r="H77" s="21"/>
      <c r="I77" s="21"/>
      <c r="J77" s="19"/>
      <c r="K77" s="19"/>
      <c r="L77" s="19"/>
      <c r="M77" s="19"/>
    </row>
    <row r="78" ht="14.1" customHeight="1" spans="1:13">
      <c r="A78" s="22">
        <v>117</v>
      </c>
      <c r="B78" s="19"/>
      <c r="C78" s="19" t="s">
        <v>194</v>
      </c>
      <c r="D78" s="19" t="s">
        <v>39</v>
      </c>
      <c r="E78" s="19"/>
      <c r="F78" s="19"/>
      <c r="G78" s="19"/>
      <c r="H78" s="21"/>
      <c r="I78" s="21"/>
      <c r="J78" s="19"/>
      <c r="K78" s="19"/>
      <c r="L78" s="24">
        <v>10542</v>
      </c>
      <c r="M78" s="19"/>
    </row>
    <row r="79" ht="14.1" customHeight="1" spans="1:13">
      <c r="A79" s="19"/>
      <c r="B79" s="19"/>
      <c r="C79" s="19"/>
      <c r="D79" s="19"/>
      <c r="E79" s="19"/>
      <c r="F79" s="19"/>
      <c r="G79" s="19"/>
      <c r="H79" s="21"/>
      <c r="I79" s="21"/>
      <c r="J79" s="19"/>
      <c r="K79" s="19"/>
      <c r="L79" s="19"/>
      <c r="M79" s="19"/>
    </row>
    <row r="80" ht="14.1" customHeight="1" spans="1:13">
      <c r="A80" s="22">
        <v>118</v>
      </c>
      <c r="B80" s="19"/>
      <c r="C80" s="19" t="s">
        <v>195</v>
      </c>
      <c r="D80" s="19" t="s">
        <v>39</v>
      </c>
      <c r="E80" s="24">
        <v>1325</v>
      </c>
      <c r="F80" s="24">
        <v>1650</v>
      </c>
      <c r="G80" s="24">
        <v>2175</v>
      </c>
      <c r="H80" s="21"/>
      <c r="I80" s="21"/>
      <c r="J80" s="19"/>
      <c r="K80" s="19"/>
      <c r="L80" s="19"/>
      <c r="M80" s="19"/>
    </row>
    <row r="81" ht="14.1" customHeight="1" spans="1:13">
      <c r="A81" s="19"/>
      <c r="B81" s="19"/>
      <c r="C81" s="19"/>
      <c r="D81" s="19"/>
      <c r="E81" s="19"/>
      <c r="F81" s="19"/>
      <c r="G81" s="19"/>
      <c r="H81" s="21"/>
      <c r="I81" s="21"/>
      <c r="J81" s="19"/>
      <c r="K81" s="19"/>
      <c r="L81" s="19"/>
      <c r="M81" s="19"/>
    </row>
    <row r="82" ht="14.1" customHeight="1" spans="1:13">
      <c r="A82" s="22">
        <v>119</v>
      </c>
      <c r="B82" s="19"/>
      <c r="C82" s="19" t="s">
        <v>196</v>
      </c>
      <c r="D82" s="19" t="s">
        <v>39</v>
      </c>
      <c r="E82" s="19"/>
      <c r="F82" s="24">
        <v>1900</v>
      </c>
      <c r="G82" s="24">
        <v>2400</v>
      </c>
      <c r="H82" s="23">
        <v>2700</v>
      </c>
      <c r="I82" s="23">
        <v>3075</v>
      </c>
      <c r="J82" s="24">
        <v>3550</v>
      </c>
      <c r="K82" s="19"/>
      <c r="L82" s="19"/>
      <c r="M82" s="19"/>
    </row>
    <row r="83" ht="14.1" customHeight="1" spans="1:13">
      <c r="A83" s="19"/>
      <c r="B83" s="19"/>
      <c r="C83" s="19"/>
      <c r="D83" s="19"/>
      <c r="E83" s="19"/>
      <c r="F83" s="19"/>
      <c r="G83" s="19"/>
      <c r="H83" s="21"/>
      <c r="I83" s="21"/>
      <c r="J83" s="19"/>
      <c r="K83" s="19"/>
      <c r="L83" s="19"/>
      <c r="M83" s="19"/>
    </row>
    <row r="84" ht="14.1" customHeight="1" spans="1:13">
      <c r="A84" s="22">
        <v>120</v>
      </c>
      <c r="B84" s="19"/>
      <c r="C84" s="19" t="s">
        <v>197</v>
      </c>
      <c r="D84" s="19" t="s">
        <v>39</v>
      </c>
      <c r="E84" s="19"/>
      <c r="F84" s="19"/>
      <c r="G84" s="19"/>
      <c r="H84" s="23">
        <v>2925</v>
      </c>
      <c r="I84" s="23">
        <v>3558</v>
      </c>
      <c r="J84" s="24">
        <v>4113</v>
      </c>
      <c r="K84" s="24">
        <v>5111</v>
      </c>
      <c r="L84" s="24">
        <v>6117</v>
      </c>
      <c r="M84" s="19"/>
    </row>
    <row r="85" ht="14.1" customHeight="1" spans="1:13">
      <c r="A85" s="19"/>
      <c r="B85" s="19"/>
      <c r="C85" s="19"/>
      <c r="D85" s="19"/>
      <c r="E85" s="19"/>
      <c r="F85" s="19"/>
      <c r="G85" s="19"/>
      <c r="H85" s="21"/>
      <c r="I85" s="21"/>
      <c r="J85" s="19"/>
      <c r="K85" s="19"/>
      <c r="L85" s="19"/>
      <c r="M85" s="19"/>
    </row>
    <row r="86" ht="14.1" customHeight="1" spans="1:13">
      <c r="A86" s="22">
        <v>121</v>
      </c>
      <c r="B86" s="19"/>
      <c r="C86" s="19" t="s">
        <v>198</v>
      </c>
      <c r="D86" s="19" t="s">
        <v>39</v>
      </c>
      <c r="E86" s="24">
        <v>1838</v>
      </c>
      <c r="F86" s="24">
        <v>1950</v>
      </c>
      <c r="G86" s="24">
        <v>2025</v>
      </c>
      <c r="H86" s="23">
        <v>2563</v>
      </c>
      <c r="I86" s="23">
        <v>2850</v>
      </c>
      <c r="J86" s="24">
        <v>3317</v>
      </c>
      <c r="K86" s="24">
        <v>4144</v>
      </c>
      <c r="L86" s="24">
        <v>5067</v>
      </c>
      <c r="M86" s="19"/>
    </row>
    <row r="87" ht="14.1" customHeight="1" spans="1:13">
      <c r="A87" s="19"/>
      <c r="B87" s="19"/>
      <c r="C87" s="19"/>
      <c r="D87" s="19"/>
      <c r="E87" s="19"/>
      <c r="F87" s="19"/>
      <c r="G87" s="19"/>
      <c r="H87" s="21"/>
      <c r="I87" s="21"/>
      <c r="J87" s="19"/>
      <c r="K87" s="19"/>
      <c r="L87" s="19"/>
      <c r="M87" s="19"/>
    </row>
    <row r="88" ht="14.1" customHeight="1" spans="1:13">
      <c r="A88" s="22">
        <v>122</v>
      </c>
      <c r="B88" s="19"/>
      <c r="C88" s="19" t="s">
        <v>199</v>
      </c>
      <c r="D88" s="19" t="s">
        <v>39</v>
      </c>
      <c r="E88" s="24">
        <v>2135</v>
      </c>
      <c r="F88" s="24">
        <v>2196</v>
      </c>
      <c r="G88" s="24">
        <v>2555</v>
      </c>
      <c r="H88" s="23">
        <v>2936</v>
      </c>
      <c r="I88" s="23">
        <v>3313</v>
      </c>
      <c r="J88" s="24">
        <v>3888</v>
      </c>
      <c r="K88" s="24">
        <v>5119</v>
      </c>
      <c r="L88" s="24">
        <v>6407</v>
      </c>
      <c r="M88" s="19"/>
    </row>
    <row r="89" ht="14.1" customHeight="1" spans="1:13">
      <c r="A89" s="19"/>
      <c r="B89" s="19"/>
      <c r="C89" s="19"/>
      <c r="D89" s="19"/>
      <c r="E89" s="19"/>
      <c r="F89" s="19"/>
      <c r="G89" s="19"/>
      <c r="H89" s="21"/>
      <c r="I89" s="21"/>
      <c r="J89" s="19"/>
      <c r="K89" s="19"/>
      <c r="L89" s="19"/>
      <c r="M89" s="19"/>
    </row>
    <row r="90" ht="14.1" customHeight="1" spans="1:13">
      <c r="A90" s="19"/>
      <c r="B90" s="19"/>
      <c r="C90" s="20" t="s">
        <v>200</v>
      </c>
      <c r="D90" s="19"/>
      <c r="E90" s="19"/>
      <c r="F90" s="19"/>
      <c r="G90" s="19"/>
      <c r="H90" s="21"/>
      <c r="I90" s="21"/>
      <c r="J90" s="19"/>
      <c r="K90" s="19"/>
      <c r="L90" s="19"/>
      <c r="M90" s="19"/>
    </row>
    <row r="91" ht="14.1" customHeight="1" spans="1:13">
      <c r="A91" s="22">
        <v>123</v>
      </c>
      <c r="B91" s="19"/>
      <c r="C91" s="19" t="s">
        <v>201</v>
      </c>
      <c r="D91" s="19" t="s">
        <v>39</v>
      </c>
      <c r="E91" s="19"/>
      <c r="F91" s="24">
        <v>1000</v>
      </c>
      <c r="G91" s="24">
        <v>1094</v>
      </c>
      <c r="H91" s="23">
        <v>1275</v>
      </c>
      <c r="I91" s="23">
        <v>1513</v>
      </c>
      <c r="J91" s="19"/>
      <c r="K91" s="19"/>
      <c r="L91" s="19"/>
      <c r="M91" s="19"/>
    </row>
    <row r="92" ht="14.1" customHeight="1" spans="1:13">
      <c r="A92" s="19"/>
      <c r="B92" s="19"/>
      <c r="C92" s="19"/>
      <c r="D92" s="19"/>
      <c r="E92" s="19"/>
      <c r="F92" s="19"/>
      <c r="G92" s="19"/>
      <c r="H92" s="21"/>
      <c r="I92" s="21"/>
      <c r="J92" s="19"/>
      <c r="K92" s="19"/>
      <c r="L92" s="19"/>
      <c r="M92" s="19"/>
    </row>
    <row r="93" ht="14.1" customHeight="1" spans="1:13">
      <c r="A93" s="22">
        <v>124</v>
      </c>
      <c r="B93" s="19"/>
      <c r="C93" s="19" t="s">
        <v>202</v>
      </c>
      <c r="D93" s="19" t="s">
        <v>39</v>
      </c>
      <c r="E93" s="19"/>
      <c r="F93" s="24">
        <v>1350</v>
      </c>
      <c r="G93" s="24">
        <v>1508</v>
      </c>
      <c r="H93" s="23">
        <v>1650</v>
      </c>
      <c r="I93" s="23">
        <v>2050</v>
      </c>
      <c r="J93" s="19"/>
      <c r="K93" s="19"/>
      <c r="L93" s="19"/>
      <c r="M93" s="19"/>
    </row>
    <row r="94" ht="14.1" customHeight="1" spans="1:13">
      <c r="A94" s="19"/>
      <c r="B94" s="19"/>
      <c r="C94" s="19"/>
      <c r="D94" s="19"/>
      <c r="E94" s="19"/>
      <c r="F94" s="19"/>
      <c r="G94" s="19"/>
      <c r="H94" s="21"/>
      <c r="I94" s="21"/>
      <c r="J94" s="19"/>
      <c r="K94" s="19"/>
      <c r="L94" s="19"/>
      <c r="M94" s="19"/>
    </row>
    <row r="95" ht="14.1" customHeight="1" spans="1:13">
      <c r="A95" s="22">
        <v>125</v>
      </c>
      <c r="B95" s="19"/>
      <c r="C95" s="19" t="s">
        <v>203</v>
      </c>
      <c r="D95" s="19" t="s">
        <v>39</v>
      </c>
      <c r="E95" s="19"/>
      <c r="F95" s="24">
        <v>1017</v>
      </c>
      <c r="G95" s="24">
        <v>1350</v>
      </c>
      <c r="H95" s="23">
        <v>1517</v>
      </c>
      <c r="I95" s="23">
        <v>1638</v>
      </c>
      <c r="J95" s="19"/>
      <c r="K95" s="19"/>
      <c r="L95" s="19"/>
      <c r="M95" s="19"/>
    </row>
    <row r="96" ht="14.1" customHeight="1" spans="1:13">
      <c r="A96" s="19"/>
      <c r="B96" s="19"/>
      <c r="C96" s="19"/>
      <c r="D96" s="19"/>
      <c r="E96" s="19"/>
      <c r="F96" s="19"/>
      <c r="G96" s="19"/>
      <c r="H96" s="21"/>
      <c r="I96" s="21"/>
      <c r="J96" s="19"/>
      <c r="K96" s="19"/>
      <c r="L96" s="19"/>
      <c r="M96" s="19"/>
    </row>
    <row r="97" ht="14.1" customHeight="1" spans="1:13">
      <c r="A97" s="19"/>
      <c r="B97" s="19"/>
      <c r="C97" s="20" t="s">
        <v>204</v>
      </c>
      <c r="D97" s="19"/>
      <c r="E97" s="19"/>
      <c r="F97" s="19"/>
      <c r="G97" s="19"/>
      <c r="H97" s="21"/>
      <c r="I97" s="21"/>
      <c r="J97" s="19"/>
      <c r="K97" s="19"/>
      <c r="L97" s="19"/>
      <c r="M97" s="19"/>
    </row>
    <row r="98" ht="14.1" customHeight="1" spans="1:13">
      <c r="A98" s="22">
        <v>126</v>
      </c>
      <c r="B98" s="19"/>
      <c r="C98" s="19" t="s">
        <v>205</v>
      </c>
      <c r="D98" s="19" t="s">
        <v>39</v>
      </c>
      <c r="E98" s="24">
        <v>1875</v>
      </c>
      <c r="F98" s="24" t="s">
        <v>206</v>
      </c>
      <c r="G98" s="19"/>
      <c r="H98" s="21"/>
      <c r="I98" s="21"/>
      <c r="J98" s="19"/>
      <c r="K98" s="19"/>
      <c r="L98" s="19"/>
      <c r="M98" s="24">
        <v>9625</v>
      </c>
    </row>
    <row r="99" ht="14.1" customHeight="1" spans="1:13">
      <c r="A99" s="19"/>
      <c r="B99" s="19"/>
      <c r="C99" s="19"/>
      <c r="D99" s="19"/>
      <c r="E99" s="19"/>
      <c r="F99" s="19"/>
      <c r="G99" s="19"/>
      <c r="H99" s="21"/>
      <c r="I99" s="21"/>
      <c r="J99" s="19"/>
      <c r="K99" s="19"/>
      <c r="L99" s="19"/>
      <c r="M99" s="19"/>
    </row>
    <row r="100" ht="14.1" customHeight="1" spans="1:13">
      <c r="A100" s="22">
        <v>127</v>
      </c>
      <c r="B100" s="19"/>
      <c r="C100" s="19" t="s">
        <v>207</v>
      </c>
      <c r="D100" s="19" t="s">
        <v>39</v>
      </c>
      <c r="E100" s="24">
        <v>1950</v>
      </c>
      <c r="F100" s="24">
        <v>2150</v>
      </c>
      <c r="G100" s="24">
        <v>2538</v>
      </c>
      <c r="H100" s="21"/>
      <c r="I100" s="21"/>
      <c r="J100" s="19"/>
      <c r="K100" s="19"/>
      <c r="L100" s="19"/>
      <c r="M100" s="24">
        <v>9625</v>
      </c>
    </row>
    <row r="101" ht="14.1" customHeight="1" spans="1:13">
      <c r="A101" s="19"/>
      <c r="B101" s="19"/>
      <c r="C101" s="19"/>
      <c r="D101" s="19"/>
      <c r="E101" s="19"/>
      <c r="F101" s="19"/>
      <c r="G101" s="19"/>
      <c r="H101" s="21"/>
      <c r="I101" s="21"/>
      <c r="J101" s="19"/>
      <c r="K101" s="19"/>
      <c r="L101" s="19"/>
      <c r="M101" s="19"/>
    </row>
    <row r="102" ht="14.1" customHeight="1" spans="1:13">
      <c r="A102" s="22">
        <v>128</v>
      </c>
      <c r="B102" s="19"/>
      <c r="C102" s="19" t="s">
        <v>208</v>
      </c>
      <c r="D102" s="19" t="s">
        <v>39</v>
      </c>
      <c r="E102" s="19"/>
      <c r="F102" s="19"/>
      <c r="G102" s="19"/>
      <c r="H102" s="21"/>
      <c r="I102" s="21"/>
      <c r="J102" s="19"/>
      <c r="K102" s="19"/>
      <c r="L102" s="19"/>
      <c r="M102" s="24">
        <v>9105</v>
      </c>
    </row>
    <row r="103" ht="14.1" customHeight="1" spans="1:13">
      <c r="A103" s="19"/>
      <c r="B103" s="19"/>
      <c r="C103" s="19"/>
      <c r="D103" s="19"/>
      <c r="E103" s="19"/>
      <c r="F103" s="19"/>
      <c r="G103" s="19"/>
      <c r="H103" s="21"/>
      <c r="I103" s="21"/>
      <c r="J103" s="19"/>
      <c r="K103" s="19"/>
      <c r="L103" s="19"/>
      <c r="M103" s="19"/>
    </row>
    <row r="104" ht="14.1" customHeight="1" spans="1:13">
      <c r="A104" s="22">
        <v>129</v>
      </c>
      <c r="B104" s="19"/>
      <c r="C104" s="19" t="s">
        <v>209</v>
      </c>
      <c r="D104" s="19" t="s">
        <v>39</v>
      </c>
      <c r="E104" s="19"/>
      <c r="F104" s="19"/>
      <c r="G104" s="19"/>
      <c r="H104" s="21"/>
      <c r="I104" s="21"/>
      <c r="J104" s="19"/>
      <c r="K104" s="19"/>
      <c r="L104" s="19"/>
      <c r="M104" s="24">
        <v>12663</v>
      </c>
    </row>
    <row r="105" ht="14.1" customHeight="1" spans="1:13">
      <c r="A105" s="19"/>
      <c r="B105" s="19"/>
      <c r="C105" s="19"/>
      <c r="D105" s="19"/>
      <c r="E105" s="19"/>
      <c r="F105" s="19"/>
      <c r="G105" s="19"/>
      <c r="H105" s="21"/>
      <c r="I105" s="21"/>
      <c r="J105" s="19"/>
      <c r="K105" s="19"/>
      <c r="L105" s="19"/>
      <c r="M105" s="19"/>
    </row>
    <row r="106" ht="14.1" customHeight="1" spans="1:13">
      <c r="A106" s="22">
        <v>130</v>
      </c>
      <c r="B106" s="19"/>
      <c r="C106" s="19" t="s">
        <v>210</v>
      </c>
      <c r="D106" s="19" t="s">
        <v>39</v>
      </c>
      <c r="E106" s="24">
        <v>1813</v>
      </c>
      <c r="F106" s="24">
        <v>2013</v>
      </c>
      <c r="G106" s="24">
        <v>2367</v>
      </c>
      <c r="H106" s="23">
        <v>2600</v>
      </c>
      <c r="I106" s="23">
        <v>2981</v>
      </c>
      <c r="J106" s="24">
        <v>3333</v>
      </c>
      <c r="K106" s="24">
        <v>3983</v>
      </c>
      <c r="L106" s="19"/>
      <c r="M106" s="19"/>
    </row>
    <row r="107" ht="14.1" customHeight="1" spans="1:13">
      <c r="A107" s="19"/>
      <c r="B107" s="19"/>
      <c r="C107" s="19"/>
      <c r="D107" s="19"/>
      <c r="E107" s="19"/>
      <c r="F107" s="19"/>
      <c r="G107" s="19"/>
      <c r="H107" s="21"/>
      <c r="I107" s="21"/>
      <c r="J107" s="19"/>
      <c r="K107" s="19"/>
      <c r="L107" s="19"/>
      <c r="M107" s="19"/>
    </row>
    <row r="108" ht="14.1" customHeight="1" spans="1:13">
      <c r="A108" s="22">
        <v>131</v>
      </c>
      <c r="B108" s="19"/>
      <c r="C108" s="19" t="s">
        <v>211</v>
      </c>
      <c r="D108" s="19" t="s">
        <v>39</v>
      </c>
      <c r="E108" s="19"/>
      <c r="F108" s="19"/>
      <c r="G108" s="19"/>
      <c r="H108" s="21"/>
      <c r="I108" s="21"/>
      <c r="J108" s="19"/>
      <c r="K108" s="19"/>
      <c r="L108" s="24">
        <v>7775</v>
      </c>
      <c r="M108" s="19"/>
    </row>
    <row r="109" ht="14.1" customHeight="1" spans="1:13">
      <c r="A109" s="19"/>
      <c r="B109" s="19"/>
      <c r="C109" s="19"/>
      <c r="D109" s="19"/>
      <c r="E109" s="19"/>
      <c r="F109" s="19"/>
      <c r="G109" s="19"/>
      <c r="H109" s="21"/>
      <c r="I109" s="21"/>
      <c r="J109" s="19"/>
      <c r="K109" s="19"/>
      <c r="L109" s="19"/>
      <c r="M109" s="19"/>
    </row>
    <row r="110" ht="14.1" customHeight="1" spans="1:13">
      <c r="A110" s="22">
        <v>132</v>
      </c>
      <c r="B110" s="19"/>
      <c r="C110" s="19" t="s">
        <v>212</v>
      </c>
      <c r="D110" s="19" t="s">
        <v>39</v>
      </c>
      <c r="E110" s="24">
        <v>1500</v>
      </c>
      <c r="F110" s="24">
        <v>1775</v>
      </c>
      <c r="G110" s="24">
        <v>2250</v>
      </c>
      <c r="H110" s="23">
        <v>2517</v>
      </c>
      <c r="I110" s="23">
        <v>2675</v>
      </c>
      <c r="J110" s="24">
        <v>3688</v>
      </c>
      <c r="K110" s="24">
        <v>4531</v>
      </c>
      <c r="L110" s="24">
        <v>5550</v>
      </c>
      <c r="M110" s="19"/>
    </row>
    <row r="111" ht="14.1" customHeight="1" spans="1:13">
      <c r="A111" s="19"/>
      <c r="B111" s="19"/>
      <c r="C111" s="19"/>
      <c r="D111" s="19"/>
      <c r="E111" s="19"/>
      <c r="F111" s="19"/>
      <c r="G111" s="19"/>
      <c r="H111" s="21"/>
      <c r="I111" s="21"/>
      <c r="J111" s="19"/>
      <c r="K111" s="19"/>
      <c r="L111" s="19"/>
      <c r="M111" s="19"/>
    </row>
    <row r="112" ht="14.1" customHeight="1" spans="1:13">
      <c r="A112" s="22">
        <v>133</v>
      </c>
      <c r="B112" s="19"/>
      <c r="C112" s="19" t="s">
        <v>213</v>
      </c>
      <c r="D112" s="19" t="s">
        <v>39</v>
      </c>
      <c r="E112" s="24">
        <v>1642</v>
      </c>
      <c r="F112" s="24">
        <v>1875</v>
      </c>
      <c r="G112" s="24">
        <v>2175</v>
      </c>
      <c r="H112" s="23">
        <v>2613</v>
      </c>
      <c r="I112" s="23">
        <v>3033</v>
      </c>
      <c r="J112" s="24">
        <v>3463</v>
      </c>
      <c r="K112" s="24">
        <v>4150</v>
      </c>
      <c r="L112" s="24">
        <v>4925</v>
      </c>
      <c r="M112" s="19"/>
    </row>
    <row r="113" ht="14.1" customHeight="1" spans="1:13">
      <c r="A113" s="19"/>
      <c r="B113" s="19"/>
      <c r="C113" s="19"/>
      <c r="D113" s="19"/>
      <c r="E113" s="19"/>
      <c r="F113" s="19"/>
      <c r="G113" s="19"/>
      <c r="H113" s="21"/>
      <c r="I113" s="21"/>
      <c r="J113" s="19"/>
      <c r="K113" s="19"/>
      <c r="L113" s="19"/>
      <c r="M113" s="19"/>
    </row>
    <row r="114" ht="14.1" customHeight="1" spans="1:13">
      <c r="A114" s="22">
        <v>134</v>
      </c>
      <c r="B114" s="19"/>
      <c r="C114" s="19" t="s">
        <v>214</v>
      </c>
      <c r="D114" s="19" t="s">
        <v>39</v>
      </c>
      <c r="E114" s="24">
        <v>1750</v>
      </c>
      <c r="F114" s="24">
        <v>2075</v>
      </c>
      <c r="G114" s="24">
        <v>2400</v>
      </c>
      <c r="H114" s="23">
        <v>2925</v>
      </c>
      <c r="I114" s="23">
        <v>3229</v>
      </c>
      <c r="J114" s="24">
        <v>3833</v>
      </c>
      <c r="K114" s="24">
        <v>4680</v>
      </c>
      <c r="L114" s="24">
        <v>5767</v>
      </c>
      <c r="M114" s="19"/>
    </row>
    <row r="115" ht="14.1" customHeight="1" spans="1:13">
      <c r="A115" s="19"/>
      <c r="B115" s="19"/>
      <c r="C115" s="19"/>
      <c r="D115" s="19"/>
      <c r="E115" s="19"/>
      <c r="F115" s="19"/>
      <c r="G115" s="19"/>
      <c r="H115" s="21"/>
      <c r="I115" s="21"/>
      <c r="J115" s="19"/>
      <c r="K115" s="19"/>
      <c r="L115" s="19"/>
      <c r="M115" s="19"/>
    </row>
    <row r="116" ht="14.1" customHeight="1" spans="1:13">
      <c r="A116" s="19"/>
      <c r="B116" s="19"/>
      <c r="C116" s="20" t="s">
        <v>215</v>
      </c>
      <c r="D116" s="19"/>
      <c r="E116" s="19"/>
      <c r="F116" s="19"/>
      <c r="G116" s="19"/>
      <c r="H116" s="21"/>
      <c r="I116" s="21"/>
      <c r="J116" s="19"/>
      <c r="K116" s="19"/>
      <c r="L116" s="19"/>
      <c r="M116" s="19"/>
    </row>
    <row r="117" ht="14.1" customHeight="1" spans="1:13">
      <c r="A117" s="22">
        <v>135</v>
      </c>
      <c r="B117" s="19"/>
      <c r="C117" s="19" t="s">
        <v>216</v>
      </c>
      <c r="D117" s="19" t="s">
        <v>39</v>
      </c>
      <c r="E117" s="24">
        <v>2419</v>
      </c>
      <c r="F117" s="19"/>
      <c r="G117" s="19"/>
      <c r="H117" s="21"/>
      <c r="I117" s="21"/>
      <c r="J117" s="19"/>
      <c r="K117" s="19"/>
      <c r="L117" s="19"/>
      <c r="M117" s="19"/>
    </row>
    <row r="118" ht="14.1" customHeight="1" spans="1:13">
      <c r="A118" s="19"/>
      <c r="B118" s="19"/>
      <c r="C118" s="19"/>
      <c r="D118" s="19"/>
      <c r="E118" s="19"/>
      <c r="F118" s="19"/>
      <c r="G118" s="19"/>
      <c r="H118" s="21"/>
      <c r="I118" s="21"/>
      <c r="J118" s="19"/>
      <c r="K118" s="19"/>
      <c r="L118" s="19"/>
      <c r="M118" s="19"/>
    </row>
    <row r="119" ht="14.1" customHeight="1" spans="1:13">
      <c r="A119" s="19"/>
      <c r="B119" s="19"/>
      <c r="C119" s="20" t="s">
        <v>217</v>
      </c>
      <c r="D119" s="19"/>
      <c r="E119" s="19"/>
      <c r="F119" s="19"/>
      <c r="G119" s="19"/>
      <c r="H119" s="21"/>
      <c r="I119" s="21"/>
      <c r="J119" s="19"/>
      <c r="K119" s="19"/>
      <c r="L119" s="19"/>
      <c r="M119" s="19"/>
    </row>
    <row r="120" ht="14.1" customHeight="1" spans="1:13">
      <c r="A120" s="22">
        <v>136</v>
      </c>
      <c r="B120" s="19"/>
      <c r="C120" s="19" t="s">
        <v>218</v>
      </c>
      <c r="D120" s="19" t="s">
        <v>39</v>
      </c>
      <c r="E120" s="24">
        <v>1425</v>
      </c>
      <c r="F120" s="24">
        <v>1625</v>
      </c>
      <c r="G120" s="24">
        <v>1825</v>
      </c>
      <c r="H120" s="21"/>
      <c r="I120" s="21"/>
      <c r="J120" s="19"/>
      <c r="K120" s="19"/>
      <c r="L120" s="19"/>
      <c r="M120" s="19"/>
    </row>
    <row r="121" ht="14.1" customHeight="1" spans="1:13">
      <c r="A121" s="19"/>
      <c r="B121" s="19"/>
      <c r="C121" s="19"/>
      <c r="D121" s="19"/>
      <c r="E121" s="19"/>
      <c r="F121" s="19"/>
      <c r="G121" s="19"/>
      <c r="H121" s="21"/>
      <c r="I121" s="21"/>
      <c r="J121" s="19"/>
      <c r="K121" s="19"/>
      <c r="L121" s="19"/>
      <c r="M121" s="19"/>
    </row>
    <row r="122" ht="14.1" customHeight="1" spans="1:13">
      <c r="A122" s="22">
        <v>137</v>
      </c>
      <c r="B122" s="19"/>
      <c r="C122" s="19" t="s">
        <v>219</v>
      </c>
      <c r="D122" s="19" t="s">
        <v>39</v>
      </c>
      <c r="E122" s="24">
        <v>1706</v>
      </c>
      <c r="F122" s="24">
        <v>1950</v>
      </c>
      <c r="G122" s="24">
        <v>2106</v>
      </c>
      <c r="H122" s="21"/>
      <c r="I122" s="21"/>
      <c r="J122" s="19"/>
      <c r="K122" s="19"/>
      <c r="L122" s="19"/>
      <c r="M122" s="19"/>
    </row>
    <row r="123" ht="14.1" customHeight="1" spans="1:13">
      <c r="A123" s="19"/>
      <c r="B123" s="19"/>
      <c r="C123" s="19"/>
      <c r="D123" s="19"/>
      <c r="E123" s="19"/>
      <c r="F123" s="19"/>
      <c r="G123" s="19"/>
      <c r="H123" s="21"/>
      <c r="I123" s="21"/>
      <c r="J123" s="19"/>
      <c r="K123" s="19"/>
      <c r="L123" s="19"/>
      <c r="M123" s="19"/>
    </row>
    <row r="124" ht="14.1" customHeight="1" spans="1:13">
      <c r="A124" s="22">
        <v>138</v>
      </c>
      <c r="B124" s="19"/>
      <c r="C124" s="19" t="s">
        <v>220</v>
      </c>
      <c r="D124" s="19" t="s">
        <v>39</v>
      </c>
      <c r="E124" s="24">
        <v>1706</v>
      </c>
      <c r="F124" s="24">
        <v>1850</v>
      </c>
      <c r="G124" s="24">
        <v>2075</v>
      </c>
      <c r="H124" s="23">
        <v>2288</v>
      </c>
      <c r="I124" s="23">
        <v>2450</v>
      </c>
      <c r="J124" s="19"/>
      <c r="K124" s="19"/>
      <c r="L124" s="19"/>
      <c r="M124" s="19"/>
    </row>
    <row r="125" ht="14.1" customHeight="1" spans="1:13">
      <c r="A125" s="19"/>
      <c r="B125" s="19"/>
      <c r="C125" s="19"/>
      <c r="D125" s="19"/>
      <c r="E125" s="19"/>
      <c r="F125" s="19"/>
      <c r="G125" s="19"/>
      <c r="H125" s="21"/>
      <c r="I125" s="21"/>
      <c r="J125" s="19"/>
      <c r="K125" s="19"/>
      <c r="L125" s="19"/>
      <c r="M125" s="19"/>
    </row>
    <row r="126" ht="14.1" customHeight="1" spans="1:13">
      <c r="A126" s="22">
        <v>139</v>
      </c>
      <c r="B126" s="19"/>
      <c r="C126" s="19" t="s">
        <v>221</v>
      </c>
      <c r="D126" s="19" t="s">
        <v>39</v>
      </c>
      <c r="E126" s="19"/>
      <c r="F126" s="19"/>
      <c r="G126" s="19"/>
      <c r="H126" s="21"/>
      <c r="I126" s="21"/>
      <c r="J126" s="19"/>
      <c r="K126" s="19"/>
      <c r="L126" s="19"/>
      <c r="M126" s="24">
        <v>7875</v>
      </c>
    </row>
    <row r="127" ht="14.1" customHeight="1" spans="1:13">
      <c r="A127" s="19"/>
      <c r="B127" s="19"/>
      <c r="C127" s="19"/>
      <c r="D127" s="19"/>
      <c r="E127" s="19"/>
      <c r="F127" s="19"/>
      <c r="G127" s="19"/>
      <c r="H127" s="21"/>
      <c r="I127" s="21"/>
      <c r="J127" s="19"/>
      <c r="K127" s="19"/>
      <c r="L127" s="19"/>
      <c r="M127" s="19"/>
    </row>
    <row r="128" ht="14.1" customHeight="1" spans="1:13">
      <c r="A128" s="22">
        <v>140</v>
      </c>
      <c r="B128" s="19"/>
      <c r="C128" s="19" t="s">
        <v>222</v>
      </c>
      <c r="D128" s="19" t="s">
        <v>39</v>
      </c>
      <c r="E128" s="19"/>
      <c r="F128" s="19"/>
      <c r="G128" s="24">
        <v>2565</v>
      </c>
      <c r="H128" s="23">
        <v>2925</v>
      </c>
      <c r="I128" s="23">
        <v>3331</v>
      </c>
      <c r="J128" s="24">
        <v>3894</v>
      </c>
      <c r="K128" s="24">
        <v>4592</v>
      </c>
      <c r="L128" s="24">
        <v>5460</v>
      </c>
      <c r="M128" s="24">
        <v>6279</v>
      </c>
    </row>
    <row r="129" ht="14.1" customHeight="1" spans="1:13">
      <c r="A129" s="19"/>
      <c r="B129" s="19"/>
      <c r="C129" s="19"/>
      <c r="D129" s="19"/>
      <c r="E129" s="19"/>
      <c r="F129" s="19"/>
      <c r="G129" s="19"/>
      <c r="H129" s="21"/>
      <c r="I129" s="21"/>
      <c r="J129" s="19"/>
      <c r="K129" s="19"/>
      <c r="L129" s="19"/>
      <c r="M129" s="19"/>
    </row>
    <row r="130" ht="14.1" customHeight="1" spans="1:13">
      <c r="A130" s="22">
        <v>141</v>
      </c>
      <c r="B130" s="19"/>
      <c r="C130" s="19" t="s">
        <v>223</v>
      </c>
      <c r="D130" s="19" t="s">
        <v>39</v>
      </c>
      <c r="E130" s="19"/>
      <c r="F130" s="19"/>
      <c r="G130" s="19"/>
      <c r="H130" s="21"/>
      <c r="I130" s="21"/>
      <c r="J130" s="19"/>
      <c r="K130" s="19"/>
      <c r="L130" s="19"/>
      <c r="M130" s="24">
        <v>11211</v>
      </c>
    </row>
    <row r="131" ht="14.1" customHeight="1" spans="1:13">
      <c r="A131" s="19"/>
      <c r="B131" s="19"/>
      <c r="C131" s="19"/>
      <c r="D131" s="19"/>
      <c r="E131" s="19"/>
      <c r="F131" s="19"/>
      <c r="G131" s="19"/>
      <c r="H131" s="21"/>
      <c r="I131" s="21"/>
      <c r="J131" s="19"/>
      <c r="K131" s="19"/>
      <c r="L131" s="19"/>
      <c r="M131" s="19"/>
    </row>
    <row r="132" ht="14.1" customHeight="1" spans="1:13">
      <c r="A132" s="22">
        <v>142</v>
      </c>
      <c r="B132" s="19"/>
      <c r="C132" s="19" t="s">
        <v>224</v>
      </c>
      <c r="D132" s="19" t="s">
        <v>39</v>
      </c>
      <c r="E132" s="24">
        <v>1733</v>
      </c>
      <c r="F132" s="24">
        <v>1933</v>
      </c>
      <c r="G132" s="24">
        <v>2442</v>
      </c>
      <c r="H132" s="23">
        <v>2679</v>
      </c>
      <c r="I132" s="23">
        <v>3158</v>
      </c>
      <c r="J132" s="24">
        <v>3700</v>
      </c>
      <c r="K132" s="24">
        <v>4242</v>
      </c>
      <c r="L132" s="24">
        <v>5800</v>
      </c>
      <c r="M132" s="19"/>
    </row>
    <row r="133" ht="14.1" customHeight="1" spans="1:13">
      <c r="A133" s="19"/>
      <c r="B133" s="19"/>
      <c r="C133" s="19"/>
      <c r="D133" s="19"/>
      <c r="E133" s="19"/>
      <c r="F133" s="19"/>
      <c r="G133" s="19"/>
      <c r="H133" s="21"/>
      <c r="I133" s="21"/>
      <c r="J133" s="19"/>
      <c r="K133" s="19"/>
      <c r="L133" s="19"/>
      <c r="M133" s="19"/>
    </row>
    <row r="134" ht="14.1" customHeight="1" spans="1:13">
      <c r="A134" s="22">
        <v>143</v>
      </c>
      <c r="B134" s="19"/>
      <c r="C134" s="19" t="s">
        <v>225</v>
      </c>
      <c r="D134" s="19" t="s">
        <v>39</v>
      </c>
      <c r="E134" s="19"/>
      <c r="F134" s="19"/>
      <c r="G134" s="19"/>
      <c r="H134" s="21"/>
      <c r="I134" s="21"/>
      <c r="J134" s="24">
        <v>3000</v>
      </c>
      <c r="K134" s="19"/>
      <c r="L134" s="19"/>
      <c r="M134" s="19"/>
    </row>
    <row r="135" ht="14.1" customHeight="1" spans="1:13">
      <c r="A135" s="19"/>
      <c r="B135" s="19"/>
      <c r="C135" s="19"/>
      <c r="D135" s="19"/>
      <c r="E135" s="19"/>
      <c r="F135" s="19"/>
      <c r="G135" s="19"/>
      <c r="H135" s="21"/>
      <c r="I135" s="21"/>
      <c r="J135" s="19"/>
      <c r="K135" s="19"/>
      <c r="L135" s="19"/>
      <c r="M135" s="19"/>
    </row>
    <row r="136" ht="14.1" customHeight="1" spans="1:13">
      <c r="A136" s="19"/>
      <c r="B136" s="19"/>
      <c r="C136" s="20" t="s">
        <v>42</v>
      </c>
      <c r="D136" s="19"/>
      <c r="E136" s="19"/>
      <c r="F136" s="19"/>
      <c r="G136" s="19"/>
      <c r="H136" s="21"/>
      <c r="I136" s="21"/>
      <c r="J136" s="19"/>
      <c r="K136" s="19"/>
      <c r="L136" s="19"/>
      <c r="M136" s="19"/>
    </row>
    <row r="137" ht="14.1" customHeight="1" spans="1:13">
      <c r="A137" s="22">
        <v>144</v>
      </c>
      <c r="B137" s="19"/>
      <c r="C137" s="19" t="s">
        <v>226</v>
      </c>
      <c r="D137" s="19" t="s">
        <v>39</v>
      </c>
      <c r="E137" s="24">
        <v>3785</v>
      </c>
      <c r="F137" s="24">
        <v>4255</v>
      </c>
      <c r="G137" s="24">
        <v>4713</v>
      </c>
      <c r="H137" s="23">
        <v>4908</v>
      </c>
      <c r="I137" s="23">
        <v>5565</v>
      </c>
      <c r="J137" s="24">
        <v>7611</v>
      </c>
      <c r="K137" s="24">
        <v>8489</v>
      </c>
      <c r="L137" s="24">
        <v>9225</v>
      </c>
      <c r="M137" s="24">
        <v>10609</v>
      </c>
    </row>
    <row r="138" ht="14.1" customHeight="1" spans="1:13">
      <c r="A138" s="19"/>
      <c r="B138" s="19"/>
      <c r="C138" s="19"/>
      <c r="D138" s="19"/>
      <c r="E138" s="19"/>
      <c r="F138" s="19"/>
      <c r="G138" s="19"/>
      <c r="H138" s="21"/>
      <c r="I138" s="21"/>
      <c r="J138" s="19"/>
      <c r="K138" s="19"/>
      <c r="L138" s="19"/>
      <c r="M138" s="19"/>
    </row>
    <row r="139" ht="14.1" customHeight="1" spans="1:13">
      <c r="A139" s="22">
        <v>145</v>
      </c>
      <c r="B139" s="19"/>
      <c r="C139" s="19" t="s">
        <v>227</v>
      </c>
      <c r="D139" s="19" t="s">
        <v>39</v>
      </c>
      <c r="E139" s="24">
        <v>4225</v>
      </c>
      <c r="F139" s="24">
        <v>4719</v>
      </c>
      <c r="G139" s="24">
        <v>5194</v>
      </c>
      <c r="H139" s="23">
        <v>5625</v>
      </c>
      <c r="I139" s="23">
        <v>6350</v>
      </c>
      <c r="J139" s="24">
        <v>8446</v>
      </c>
      <c r="K139" s="24">
        <v>9433</v>
      </c>
      <c r="L139" s="24">
        <v>10150</v>
      </c>
      <c r="M139" s="24">
        <v>11673</v>
      </c>
    </row>
    <row r="140" ht="14.1" customHeight="1" spans="1:13">
      <c r="A140" s="19"/>
      <c r="B140" s="19"/>
      <c r="C140" s="19"/>
      <c r="D140" s="19"/>
      <c r="E140" s="19"/>
      <c r="F140" s="19"/>
      <c r="G140" s="19"/>
      <c r="H140" s="21"/>
      <c r="I140" s="21"/>
      <c r="J140" s="19"/>
      <c r="K140" s="19"/>
      <c r="L140" s="19"/>
      <c r="M140" s="19"/>
    </row>
    <row r="141" ht="14.1" customHeight="1" spans="1:13">
      <c r="A141" s="22">
        <v>146</v>
      </c>
      <c r="B141" s="19"/>
      <c r="C141" s="19" t="s">
        <v>228</v>
      </c>
      <c r="D141" s="19" t="s">
        <v>39</v>
      </c>
      <c r="E141" s="24">
        <v>2900</v>
      </c>
      <c r="F141" s="24">
        <v>3630</v>
      </c>
      <c r="G141" s="24">
        <v>3983</v>
      </c>
      <c r="H141" s="23">
        <v>4525</v>
      </c>
      <c r="I141" s="23">
        <v>4909</v>
      </c>
      <c r="J141" s="24">
        <v>5619</v>
      </c>
      <c r="K141" s="24">
        <v>6493</v>
      </c>
      <c r="L141" s="24">
        <v>7480</v>
      </c>
      <c r="M141" s="24">
        <v>8602</v>
      </c>
    </row>
    <row r="142" ht="14.1" customHeight="1" spans="1:13">
      <c r="A142" s="19"/>
      <c r="B142" s="19"/>
      <c r="C142" s="19"/>
      <c r="D142" s="19"/>
      <c r="E142" s="19"/>
      <c r="F142" s="19"/>
      <c r="G142" s="19"/>
      <c r="H142" s="21"/>
      <c r="I142" s="21"/>
      <c r="J142" s="19"/>
      <c r="K142" s="19"/>
      <c r="L142" s="19"/>
      <c r="M142" s="19"/>
    </row>
    <row r="143" ht="14.1" customHeight="1" spans="1:13">
      <c r="A143" s="22">
        <v>147</v>
      </c>
      <c r="B143" s="19"/>
      <c r="C143" s="19" t="s">
        <v>44</v>
      </c>
      <c r="D143" s="19" t="s">
        <v>39</v>
      </c>
      <c r="E143" s="19"/>
      <c r="F143" s="19"/>
      <c r="G143" s="24">
        <v>4850</v>
      </c>
      <c r="H143" s="23">
        <v>5275</v>
      </c>
      <c r="I143" s="23">
        <v>5800</v>
      </c>
      <c r="J143" s="24">
        <v>6525</v>
      </c>
      <c r="K143" s="24">
        <v>8250</v>
      </c>
      <c r="L143" s="24">
        <v>9875</v>
      </c>
      <c r="M143" s="19"/>
    </row>
    <row r="144" ht="14.1" customHeight="1" spans="1:13">
      <c r="A144" s="19"/>
      <c r="B144" s="19"/>
      <c r="C144" s="19"/>
      <c r="D144" s="19"/>
      <c r="E144" s="19"/>
      <c r="F144" s="19"/>
      <c r="G144" s="19"/>
      <c r="H144" s="21"/>
      <c r="I144" s="21"/>
      <c r="J144" s="19"/>
      <c r="K144" s="19"/>
      <c r="L144" s="19"/>
      <c r="M144" s="19"/>
    </row>
    <row r="145" ht="14.1" customHeight="1" spans="1:13">
      <c r="A145" s="22">
        <v>148</v>
      </c>
      <c r="B145" s="19"/>
      <c r="C145" s="19" t="s">
        <v>229</v>
      </c>
      <c r="D145" s="19" t="s">
        <v>39</v>
      </c>
      <c r="E145" s="24">
        <v>4475</v>
      </c>
      <c r="F145" s="24">
        <v>5000</v>
      </c>
      <c r="G145" s="24">
        <v>5588</v>
      </c>
      <c r="H145" s="23">
        <v>6238</v>
      </c>
      <c r="I145" s="21"/>
      <c r="J145" s="19"/>
      <c r="K145" s="19"/>
      <c r="L145" s="19"/>
      <c r="M145" s="19"/>
    </row>
    <row r="146" ht="14.1" customHeight="1" spans="1:13">
      <c r="A146" s="19"/>
      <c r="B146" s="19"/>
      <c r="C146" s="19"/>
      <c r="D146" s="19"/>
      <c r="E146" s="19"/>
      <c r="F146" s="19"/>
      <c r="G146" s="19"/>
      <c r="H146" s="21"/>
      <c r="I146" s="21"/>
      <c r="J146" s="19"/>
      <c r="K146" s="19"/>
      <c r="L146" s="19"/>
      <c r="M146" s="19"/>
    </row>
    <row r="147" ht="14.1" customHeight="1" spans="1:13">
      <c r="A147" s="22">
        <v>149</v>
      </c>
      <c r="B147" s="19"/>
      <c r="C147" s="19" t="s">
        <v>230</v>
      </c>
      <c r="D147" s="19" t="s">
        <v>39</v>
      </c>
      <c r="E147" s="19"/>
      <c r="F147" s="19"/>
      <c r="G147" s="24">
        <v>8500</v>
      </c>
      <c r="H147" s="23">
        <v>8975</v>
      </c>
      <c r="I147" s="23">
        <v>9525</v>
      </c>
      <c r="J147" s="24">
        <v>10450</v>
      </c>
      <c r="K147" s="24">
        <v>12525</v>
      </c>
      <c r="L147" s="24">
        <v>14075</v>
      </c>
      <c r="M147" s="19"/>
    </row>
    <row r="148" ht="14.1" customHeight="1" spans="1:13">
      <c r="A148" s="19"/>
      <c r="B148" s="19"/>
      <c r="C148" s="19"/>
      <c r="D148" s="19"/>
      <c r="E148" s="19"/>
      <c r="F148" s="19"/>
      <c r="G148" s="19"/>
      <c r="H148" s="21"/>
      <c r="I148" s="21"/>
      <c r="J148" s="19"/>
      <c r="K148" s="19"/>
      <c r="L148" s="19"/>
      <c r="M148" s="19"/>
    </row>
    <row r="149" ht="14.1" customHeight="1" spans="1:13">
      <c r="A149" s="19"/>
      <c r="B149" s="19"/>
      <c r="C149" s="20" t="s">
        <v>46</v>
      </c>
      <c r="D149" s="19"/>
      <c r="E149" s="19"/>
      <c r="F149" s="19"/>
      <c r="G149" s="19"/>
      <c r="H149" s="21"/>
      <c r="I149" s="21"/>
      <c r="J149" s="19"/>
      <c r="K149" s="19"/>
      <c r="L149" s="19"/>
      <c r="M149" s="19"/>
    </row>
    <row r="150" ht="14.1" customHeight="1" spans="1:13">
      <c r="A150" s="22">
        <v>150</v>
      </c>
      <c r="B150" s="19"/>
      <c r="C150" s="19" t="s">
        <v>47</v>
      </c>
      <c r="D150" s="19" t="s">
        <v>39</v>
      </c>
      <c r="E150" s="24">
        <v>1000</v>
      </c>
      <c r="F150" s="24">
        <v>1108</v>
      </c>
      <c r="G150" s="24">
        <v>1558</v>
      </c>
      <c r="H150" s="23">
        <v>1725</v>
      </c>
      <c r="I150" s="23">
        <v>1883</v>
      </c>
      <c r="J150" s="24">
        <v>2275</v>
      </c>
      <c r="K150" s="24">
        <v>2913</v>
      </c>
      <c r="L150" s="24">
        <v>3700</v>
      </c>
      <c r="M150" s="24">
        <v>4255</v>
      </c>
    </row>
    <row r="151" ht="14.1" customHeight="1" spans="1:13">
      <c r="A151" s="19"/>
      <c r="B151" s="19"/>
      <c r="C151" s="19"/>
      <c r="D151" s="19"/>
      <c r="E151" s="19"/>
      <c r="F151" s="19"/>
      <c r="G151" s="19"/>
      <c r="H151" s="21"/>
      <c r="I151" s="21"/>
      <c r="J151" s="19"/>
      <c r="K151" s="19"/>
      <c r="L151" s="19"/>
      <c r="M151" s="19"/>
    </row>
    <row r="152" ht="14.1" customHeight="1" spans="1:13">
      <c r="A152" s="22">
        <v>151</v>
      </c>
      <c r="B152" s="19"/>
      <c r="C152" s="19" t="s">
        <v>231</v>
      </c>
      <c r="D152" s="19" t="s">
        <v>39</v>
      </c>
      <c r="E152" s="24">
        <v>1331</v>
      </c>
      <c r="F152" s="24">
        <v>1675</v>
      </c>
      <c r="G152" s="24">
        <v>2013</v>
      </c>
      <c r="H152" s="23">
        <v>2588</v>
      </c>
      <c r="I152" s="23">
        <v>2863</v>
      </c>
      <c r="J152" s="24">
        <v>3575</v>
      </c>
      <c r="K152" s="24">
        <v>4183</v>
      </c>
      <c r="L152" s="24">
        <v>5025</v>
      </c>
      <c r="M152" s="24">
        <v>5779</v>
      </c>
    </row>
    <row r="153" ht="14.1" customHeight="1" spans="1:13">
      <c r="A153" s="19"/>
      <c r="B153" s="19"/>
      <c r="C153" s="19"/>
      <c r="D153" s="19"/>
      <c r="E153" s="19"/>
      <c r="F153" s="19"/>
      <c r="G153" s="19"/>
      <c r="H153" s="21"/>
      <c r="I153" s="21"/>
      <c r="J153" s="19"/>
      <c r="K153" s="19"/>
      <c r="L153" s="19"/>
      <c r="M153" s="19"/>
    </row>
    <row r="154" ht="14.1" customHeight="1" spans="1:13">
      <c r="A154" s="22">
        <v>152</v>
      </c>
      <c r="B154" s="19"/>
      <c r="C154" s="19" t="s">
        <v>232</v>
      </c>
      <c r="D154" s="19" t="s">
        <v>39</v>
      </c>
      <c r="E154" s="19"/>
      <c r="F154" s="19"/>
      <c r="G154" s="19"/>
      <c r="H154" s="21"/>
      <c r="I154" s="21"/>
      <c r="J154" s="19"/>
      <c r="K154" s="19"/>
      <c r="L154" s="19"/>
      <c r="M154" s="24">
        <v>12292</v>
      </c>
    </row>
    <row r="155" ht="14.1" customHeight="1" spans="1:13">
      <c r="A155" s="19"/>
      <c r="B155" s="19"/>
      <c r="C155" s="19"/>
      <c r="D155" s="19"/>
      <c r="E155" s="19"/>
      <c r="F155" s="19"/>
      <c r="G155" s="19"/>
      <c r="H155" s="21"/>
      <c r="I155" s="21"/>
      <c r="J155" s="19"/>
      <c r="K155" s="19"/>
      <c r="L155" s="19"/>
      <c r="M155" s="19"/>
    </row>
    <row r="156" ht="14.1" customHeight="1" spans="1:13">
      <c r="A156" s="22">
        <v>153</v>
      </c>
      <c r="B156" s="19"/>
      <c r="C156" s="19" t="s">
        <v>233</v>
      </c>
      <c r="D156" s="19" t="s">
        <v>39</v>
      </c>
      <c r="E156" s="19"/>
      <c r="F156" s="24">
        <v>1750</v>
      </c>
      <c r="G156" s="24">
        <v>2025</v>
      </c>
      <c r="H156" s="23">
        <v>2300</v>
      </c>
      <c r="I156" s="23">
        <v>2875</v>
      </c>
      <c r="J156" s="24">
        <v>3425</v>
      </c>
      <c r="K156" s="24">
        <v>3925</v>
      </c>
      <c r="L156" s="24">
        <v>4475</v>
      </c>
      <c r="M156" s="24">
        <v>5146</v>
      </c>
    </row>
    <row r="157" ht="14.1" customHeight="1" spans="1:13">
      <c r="A157" s="19"/>
      <c r="B157" s="19"/>
      <c r="C157" s="19"/>
      <c r="D157" s="19"/>
      <c r="E157" s="19"/>
      <c r="F157" s="19"/>
      <c r="G157" s="19"/>
      <c r="H157" s="21"/>
      <c r="I157" s="21"/>
      <c r="J157" s="19"/>
      <c r="K157" s="19"/>
      <c r="L157" s="19"/>
      <c r="M157" s="19"/>
    </row>
    <row r="158" ht="14.1" customHeight="1" spans="1:13">
      <c r="A158" s="22">
        <v>154</v>
      </c>
      <c r="B158" s="19"/>
      <c r="C158" s="19" t="s">
        <v>234</v>
      </c>
      <c r="D158" s="19" t="s">
        <v>39</v>
      </c>
      <c r="E158" s="19"/>
      <c r="F158" s="24">
        <v>1975</v>
      </c>
      <c r="G158" s="24">
        <v>2225</v>
      </c>
      <c r="H158" s="23">
        <v>2575</v>
      </c>
      <c r="I158" s="23">
        <v>3383</v>
      </c>
      <c r="J158" s="24">
        <v>4033</v>
      </c>
      <c r="K158" s="24">
        <v>4625</v>
      </c>
      <c r="L158" s="24">
        <v>5510</v>
      </c>
      <c r="M158" s="19"/>
    </row>
    <row r="159" ht="14.1" customHeight="1" spans="1:13">
      <c r="A159" s="19"/>
      <c r="B159" s="19"/>
      <c r="C159" s="19"/>
      <c r="D159" s="19"/>
      <c r="E159" s="19"/>
      <c r="F159" s="19"/>
      <c r="G159" s="19"/>
      <c r="H159" s="21"/>
      <c r="I159" s="21"/>
      <c r="J159" s="19"/>
      <c r="K159" s="19"/>
      <c r="L159" s="19"/>
      <c r="M159" s="19"/>
    </row>
    <row r="160" ht="14.1" customHeight="1" spans="1:13">
      <c r="A160" s="22">
        <v>155</v>
      </c>
      <c r="B160" s="19"/>
      <c r="C160" s="19" t="s">
        <v>235</v>
      </c>
      <c r="D160" s="19" t="s">
        <v>39</v>
      </c>
      <c r="E160" s="24">
        <v>1763</v>
      </c>
      <c r="F160" s="24">
        <v>2025</v>
      </c>
      <c r="G160" s="24">
        <v>2650</v>
      </c>
      <c r="H160" s="23">
        <v>2900</v>
      </c>
      <c r="I160" s="23">
        <v>3200</v>
      </c>
      <c r="J160" s="24">
        <v>3500</v>
      </c>
      <c r="K160" s="24">
        <v>4650</v>
      </c>
      <c r="L160" s="24">
        <v>5625</v>
      </c>
      <c r="M160" s="19"/>
    </row>
    <row r="161" ht="14.1" customHeight="1" spans="1:13">
      <c r="A161" s="19"/>
      <c r="B161" s="19"/>
      <c r="C161" s="19"/>
      <c r="D161" s="19"/>
      <c r="E161" s="19"/>
      <c r="F161" s="19"/>
      <c r="G161" s="19"/>
      <c r="H161" s="21"/>
      <c r="I161" s="21"/>
      <c r="J161" s="19"/>
      <c r="K161" s="19"/>
      <c r="L161" s="19"/>
      <c r="M161" s="19"/>
    </row>
    <row r="162" ht="14.1" customHeight="1" spans="1:13">
      <c r="A162" s="22">
        <v>156</v>
      </c>
      <c r="B162" s="19"/>
      <c r="C162" s="19" t="s">
        <v>236</v>
      </c>
      <c r="D162" s="19" t="s">
        <v>39</v>
      </c>
      <c r="E162" s="19"/>
      <c r="F162" s="19"/>
      <c r="G162" s="19"/>
      <c r="H162" s="21"/>
      <c r="I162" s="21"/>
      <c r="J162" s="24">
        <v>4450</v>
      </c>
      <c r="K162" s="24">
        <v>5525</v>
      </c>
      <c r="L162" s="24">
        <v>7350</v>
      </c>
      <c r="M162" s="19"/>
    </row>
    <row r="163" ht="14.1" customHeight="1" spans="1:13">
      <c r="A163" s="19"/>
      <c r="B163" s="19"/>
      <c r="C163" s="19"/>
      <c r="D163" s="19"/>
      <c r="E163" s="19"/>
      <c r="F163" s="19"/>
      <c r="G163" s="19"/>
      <c r="H163" s="21"/>
      <c r="I163" s="21"/>
      <c r="J163" s="19"/>
      <c r="K163" s="19"/>
      <c r="L163" s="19"/>
      <c r="M163" s="19"/>
    </row>
    <row r="164" ht="14.1" customHeight="1" spans="1:13">
      <c r="A164" s="19"/>
      <c r="B164" s="19"/>
      <c r="C164" s="20" t="s">
        <v>237</v>
      </c>
      <c r="D164" s="19"/>
      <c r="E164" s="19"/>
      <c r="F164" s="19"/>
      <c r="G164" s="19"/>
      <c r="H164" s="21"/>
      <c r="I164" s="21"/>
      <c r="J164" s="19"/>
      <c r="K164" s="19"/>
      <c r="L164" s="19"/>
      <c r="M164" s="19"/>
    </row>
    <row r="165" ht="14.1" customHeight="1" spans="1:13">
      <c r="A165" s="22">
        <v>157</v>
      </c>
      <c r="B165" s="19"/>
      <c r="C165" s="19" t="s">
        <v>238</v>
      </c>
      <c r="D165" s="19" t="s">
        <v>39</v>
      </c>
      <c r="E165" s="19"/>
      <c r="F165" s="24">
        <v>3425</v>
      </c>
      <c r="G165" s="24">
        <v>3800</v>
      </c>
      <c r="H165" s="23">
        <v>4150</v>
      </c>
      <c r="I165" s="23">
        <v>4725</v>
      </c>
      <c r="J165" s="19"/>
      <c r="K165" s="19"/>
      <c r="L165" s="19"/>
      <c r="M165" s="19"/>
    </row>
    <row r="166" ht="14.1" customHeight="1" spans="1:13">
      <c r="A166" s="19"/>
      <c r="B166" s="19"/>
      <c r="C166" s="19"/>
      <c r="D166" s="19"/>
      <c r="E166" s="19"/>
      <c r="F166" s="19"/>
      <c r="G166" s="19"/>
      <c r="H166" s="21"/>
      <c r="I166" s="21"/>
      <c r="J166" s="19"/>
      <c r="K166" s="19"/>
      <c r="L166" s="19"/>
      <c r="M166" s="19"/>
    </row>
    <row r="167" ht="14.1" customHeight="1" spans="1:13">
      <c r="A167" s="22">
        <v>158</v>
      </c>
      <c r="B167" s="19"/>
      <c r="C167" s="19" t="s">
        <v>239</v>
      </c>
      <c r="D167" s="19" t="s">
        <v>39</v>
      </c>
      <c r="E167" s="24">
        <v>3250</v>
      </c>
      <c r="F167" s="24">
        <v>3750</v>
      </c>
      <c r="G167" s="24">
        <v>4800</v>
      </c>
      <c r="H167" s="23">
        <v>5125</v>
      </c>
      <c r="I167" s="21"/>
      <c r="J167" s="19"/>
      <c r="K167" s="19"/>
      <c r="L167" s="19"/>
      <c r="M167" s="19"/>
    </row>
    <row r="168" ht="14.1" customHeight="1" spans="1:13">
      <c r="A168" s="19"/>
      <c r="B168" s="19"/>
      <c r="C168" s="19"/>
      <c r="D168" s="19"/>
      <c r="E168" s="19"/>
      <c r="F168" s="19"/>
      <c r="G168" s="19"/>
      <c r="H168" s="21"/>
      <c r="I168" s="21"/>
      <c r="J168" s="19"/>
      <c r="K168" s="19"/>
      <c r="L168" s="19"/>
      <c r="M168" s="19"/>
    </row>
    <row r="169" ht="14.1" customHeight="1" spans="1:13">
      <c r="A169" s="19"/>
      <c r="B169" s="19"/>
      <c r="C169" s="20" t="s">
        <v>240</v>
      </c>
      <c r="D169" s="19"/>
      <c r="E169" s="19"/>
      <c r="F169" s="19"/>
      <c r="G169" s="19"/>
      <c r="H169" s="21"/>
      <c r="I169" s="21"/>
      <c r="J169" s="19"/>
      <c r="K169" s="19"/>
      <c r="L169" s="19"/>
      <c r="M169" s="19"/>
    </row>
    <row r="170" ht="14.1" customHeight="1" spans="1:13">
      <c r="A170" s="22">
        <v>159</v>
      </c>
      <c r="B170" s="19"/>
      <c r="C170" s="19" t="s">
        <v>241</v>
      </c>
      <c r="D170" s="19" t="s">
        <v>39</v>
      </c>
      <c r="E170" s="19"/>
      <c r="F170" s="19"/>
      <c r="G170" s="19"/>
      <c r="H170" s="21"/>
      <c r="I170" s="23">
        <v>5419</v>
      </c>
      <c r="J170" s="24">
        <v>6206</v>
      </c>
      <c r="K170" s="24">
        <v>7383</v>
      </c>
      <c r="L170" s="24">
        <v>10130</v>
      </c>
      <c r="M170" s="19"/>
    </row>
    <row r="171" ht="14.1" customHeight="1" spans="1:13">
      <c r="A171" s="19"/>
      <c r="B171" s="19"/>
      <c r="C171" s="19"/>
      <c r="D171" s="19"/>
      <c r="E171" s="19"/>
      <c r="F171" s="19"/>
      <c r="G171" s="19"/>
      <c r="H171" s="21"/>
      <c r="I171" s="21"/>
      <c r="J171" s="19"/>
      <c r="K171" s="19"/>
      <c r="L171" s="19"/>
      <c r="M171" s="19"/>
    </row>
    <row r="172" ht="14.1" customHeight="1" spans="1:13">
      <c r="A172" s="19"/>
      <c r="B172" s="19"/>
      <c r="C172" s="20" t="s">
        <v>48</v>
      </c>
      <c r="D172" s="19"/>
      <c r="E172" s="19"/>
      <c r="F172" s="19"/>
      <c r="G172" s="19"/>
      <c r="H172" s="21"/>
      <c r="I172" s="21"/>
      <c r="J172" s="19"/>
      <c r="K172" s="19"/>
      <c r="L172" s="19"/>
      <c r="M172" s="19"/>
    </row>
    <row r="173" ht="14.1" customHeight="1" spans="1:13">
      <c r="A173" s="22">
        <v>160</v>
      </c>
      <c r="B173" s="19"/>
      <c r="C173" s="19" t="s">
        <v>242</v>
      </c>
      <c r="D173" s="19" t="s">
        <v>39</v>
      </c>
      <c r="E173" s="19"/>
      <c r="F173" s="19"/>
      <c r="G173" s="19"/>
      <c r="H173" s="21"/>
      <c r="I173" s="21"/>
      <c r="J173" s="19"/>
      <c r="K173" s="19"/>
      <c r="L173" s="19"/>
      <c r="M173" s="24">
        <v>9250</v>
      </c>
    </row>
    <row r="174" ht="14.1" customHeight="1" spans="1:13">
      <c r="A174" s="19"/>
      <c r="B174" s="19"/>
      <c r="C174" s="19"/>
      <c r="D174" s="19"/>
      <c r="E174" s="19"/>
      <c r="F174" s="19"/>
      <c r="G174" s="19"/>
      <c r="H174" s="21"/>
      <c r="I174" s="21"/>
      <c r="J174" s="19"/>
      <c r="K174" s="19"/>
      <c r="L174" s="19"/>
      <c r="M174" s="19"/>
    </row>
    <row r="175" ht="14.1" customHeight="1" spans="1:13">
      <c r="A175" s="22">
        <v>161</v>
      </c>
      <c r="B175" s="19"/>
      <c r="C175" s="19" t="s">
        <v>243</v>
      </c>
      <c r="D175" s="19" t="s">
        <v>39</v>
      </c>
      <c r="E175" s="19"/>
      <c r="F175" s="19"/>
      <c r="G175" s="19"/>
      <c r="H175" s="21"/>
      <c r="I175" s="21"/>
      <c r="J175" s="19"/>
      <c r="K175" s="24">
        <v>3838</v>
      </c>
      <c r="L175" s="19"/>
      <c r="M175" s="19"/>
    </row>
    <row r="176" ht="14.1" customHeight="1" spans="1:13">
      <c r="A176" s="19"/>
      <c r="B176" s="19"/>
      <c r="C176" s="19"/>
      <c r="D176" s="19"/>
      <c r="E176" s="19"/>
      <c r="F176" s="19"/>
      <c r="G176" s="19"/>
      <c r="H176" s="21"/>
      <c r="I176" s="21"/>
      <c r="J176" s="19"/>
      <c r="K176" s="19"/>
      <c r="L176" s="19"/>
      <c r="M176" s="19"/>
    </row>
    <row r="177" ht="14.1" customHeight="1" spans="1:13">
      <c r="A177" s="22">
        <v>162</v>
      </c>
      <c r="B177" s="19"/>
      <c r="C177" s="19" t="s">
        <v>244</v>
      </c>
      <c r="D177" s="19" t="s">
        <v>39</v>
      </c>
      <c r="E177" s="19"/>
      <c r="F177" s="19"/>
      <c r="G177" s="19"/>
      <c r="H177" s="23">
        <v>2363</v>
      </c>
      <c r="I177" s="23">
        <v>2838</v>
      </c>
      <c r="J177" s="24">
        <v>3350</v>
      </c>
      <c r="K177" s="24">
        <v>3925</v>
      </c>
      <c r="L177" s="24">
        <v>4550</v>
      </c>
      <c r="M177" s="24">
        <v>5233</v>
      </c>
    </row>
    <row r="178" ht="14.1" customHeight="1" spans="1:13">
      <c r="A178" s="19"/>
      <c r="B178" s="19"/>
      <c r="C178" s="19"/>
      <c r="D178" s="19"/>
      <c r="E178" s="19"/>
      <c r="F178" s="19"/>
      <c r="G178" s="19"/>
      <c r="H178" s="21"/>
      <c r="I178" s="21"/>
      <c r="J178" s="19"/>
      <c r="K178" s="19"/>
      <c r="L178" s="19"/>
      <c r="M178" s="19"/>
    </row>
    <row r="179" ht="14.1" customHeight="1" spans="1:13">
      <c r="A179" s="22">
        <v>163</v>
      </c>
      <c r="B179" s="19"/>
      <c r="C179" s="19" t="s">
        <v>245</v>
      </c>
      <c r="D179" s="19" t="s">
        <v>39</v>
      </c>
      <c r="E179" s="19"/>
      <c r="F179" s="19"/>
      <c r="G179" s="19"/>
      <c r="H179" s="23">
        <v>2575</v>
      </c>
      <c r="I179" s="23">
        <v>3138</v>
      </c>
      <c r="J179" s="24">
        <v>3813</v>
      </c>
      <c r="K179" s="24">
        <v>4375</v>
      </c>
      <c r="L179" s="24">
        <v>5088</v>
      </c>
      <c r="M179" s="19"/>
    </row>
    <row r="180" ht="14.1" customHeight="1" spans="1:13">
      <c r="A180" s="19"/>
      <c r="B180" s="19"/>
      <c r="C180" s="19"/>
      <c r="D180" s="19"/>
      <c r="E180" s="19"/>
      <c r="F180" s="19"/>
      <c r="G180" s="19"/>
      <c r="H180" s="21"/>
      <c r="I180" s="21"/>
      <c r="J180" s="19"/>
      <c r="K180" s="19"/>
      <c r="L180" s="19"/>
      <c r="M180" s="19"/>
    </row>
    <row r="181" ht="14.1" customHeight="1" spans="1:13">
      <c r="A181" s="22">
        <v>164</v>
      </c>
      <c r="B181" s="19"/>
      <c r="C181" s="19" t="s">
        <v>49</v>
      </c>
      <c r="D181" s="19" t="s">
        <v>39</v>
      </c>
      <c r="E181" s="19"/>
      <c r="F181" s="19"/>
      <c r="G181" s="19"/>
      <c r="H181" s="23">
        <v>1575</v>
      </c>
      <c r="I181" s="23">
        <v>2013</v>
      </c>
      <c r="J181" s="24">
        <v>2225</v>
      </c>
      <c r="K181" s="24">
        <v>2563</v>
      </c>
      <c r="L181" s="24">
        <v>3350</v>
      </c>
      <c r="M181" s="19"/>
    </row>
    <row r="182" ht="14.1" customHeight="1" spans="1:13">
      <c r="A182" s="19"/>
      <c r="B182" s="19"/>
      <c r="C182" s="19"/>
      <c r="D182" s="19"/>
      <c r="E182" s="19"/>
      <c r="F182" s="19"/>
      <c r="G182" s="19"/>
      <c r="H182" s="21"/>
      <c r="I182" s="21"/>
      <c r="J182" s="19"/>
      <c r="K182" s="19"/>
      <c r="L182" s="19"/>
      <c r="M182" s="19"/>
    </row>
    <row r="183" ht="14.1" customHeight="1" spans="1:13">
      <c r="A183" s="22">
        <v>165</v>
      </c>
      <c r="B183" s="19"/>
      <c r="C183" s="19" t="s">
        <v>246</v>
      </c>
      <c r="D183" s="19" t="s">
        <v>39</v>
      </c>
      <c r="E183" s="24">
        <v>1000</v>
      </c>
      <c r="F183" s="24">
        <v>1150</v>
      </c>
      <c r="G183" s="24">
        <v>1363</v>
      </c>
      <c r="H183" s="23">
        <v>1450</v>
      </c>
      <c r="I183" s="21"/>
      <c r="J183" s="19"/>
      <c r="K183" s="19"/>
      <c r="L183" s="19"/>
      <c r="M183" s="19"/>
    </row>
    <row r="184" ht="14.1" customHeight="1" spans="1:13">
      <c r="A184" s="19"/>
      <c r="B184" s="19"/>
      <c r="C184" s="19"/>
      <c r="D184" s="19"/>
      <c r="E184" s="19"/>
      <c r="F184" s="19"/>
      <c r="G184" s="19"/>
      <c r="H184" s="21"/>
      <c r="I184" s="21"/>
      <c r="J184" s="19"/>
      <c r="K184" s="19"/>
      <c r="L184" s="19"/>
      <c r="M184" s="19"/>
    </row>
    <row r="185" ht="14.1" customHeight="1" spans="1:13">
      <c r="A185" s="22">
        <v>166</v>
      </c>
      <c r="B185" s="19"/>
      <c r="C185" s="19" t="s">
        <v>247</v>
      </c>
      <c r="D185" s="19" t="s">
        <v>39</v>
      </c>
      <c r="E185" s="19"/>
      <c r="F185" s="19"/>
      <c r="G185" s="24">
        <v>1550</v>
      </c>
      <c r="H185" s="23">
        <v>1725</v>
      </c>
      <c r="I185" s="23">
        <v>2050</v>
      </c>
      <c r="J185" s="24">
        <v>2481</v>
      </c>
      <c r="K185" s="24">
        <v>3013</v>
      </c>
      <c r="L185" s="24">
        <v>4800</v>
      </c>
      <c r="M185" s="19"/>
    </row>
    <row r="186" ht="14.1" customHeight="1" spans="1:13">
      <c r="A186" s="19"/>
      <c r="B186" s="19"/>
      <c r="C186" s="19"/>
      <c r="D186" s="19"/>
      <c r="E186" s="19"/>
      <c r="F186" s="19"/>
      <c r="G186" s="19"/>
      <c r="H186" s="21"/>
      <c r="I186" s="21"/>
      <c r="J186" s="19"/>
      <c r="K186" s="19"/>
      <c r="L186" s="19"/>
      <c r="M186" s="19"/>
    </row>
    <row r="187" ht="14.1" customHeight="1" spans="1:13">
      <c r="A187" s="19"/>
      <c r="B187" s="19"/>
      <c r="C187" s="20" t="s">
        <v>248</v>
      </c>
      <c r="D187" s="19"/>
      <c r="E187" s="19"/>
      <c r="F187" s="19"/>
      <c r="G187" s="19"/>
      <c r="H187" s="21"/>
      <c r="I187" s="21"/>
      <c r="J187" s="19"/>
      <c r="K187" s="19"/>
      <c r="L187" s="19"/>
      <c r="M187" s="19"/>
    </row>
    <row r="188" ht="14.1" customHeight="1" spans="1:13">
      <c r="A188" s="22">
        <v>167</v>
      </c>
      <c r="B188" s="19"/>
      <c r="C188" s="19" t="s">
        <v>249</v>
      </c>
      <c r="D188" s="19" t="s">
        <v>39</v>
      </c>
      <c r="E188" s="19"/>
      <c r="F188" s="19"/>
      <c r="G188" s="19"/>
      <c r="H188" s="21"/>
      <c r="I188" s="21"/>
      <c r="J188" s="19"/>
      <c r="K188" s="19"/>
      <c r="L188" s="19"/>
      <c r="M188" s="24">
        <v>17975</v>
      </c>
    </row>
    <row r="189" ht="14.1" customHeight="1" spans="1:13">
      <c r="A189" s="19"/>
      <c r="B189" s="19"/>
      <c r="C189" s="19"/>
      <c r="D189" s="19"/>
      <c r="E189" s="19"/>
      <c r="F189" s="19"/>
      <c r="G189" s="19"/>
      <c r="H189" s="21"/>
      <c r="I189" s="21"/>
      <c r="J189" s="19"/>
      <c r="K189" s="19"/>
      <c r="L189" s="19"/>
      <c r="M189" s="19"/>
    </row>
    <row r="190" ht="14.1" customHeight="1" spans="1:13">
      <c r="A190" s="22">
        <v>168</v>
      </c>
      <c r="B190" s="19"/>
      <c r="C190" s="19" t="s">
        <v>250</v>
      </c>
      <c r="D190" s="19" t="s">
        <v>39</v>
      </c>
      <c r="E190" s="24">
        <v>6825</v>
      </c>
      <c r="F190" s="24">
        <v>7375</v>
      </c>
      <c r="G190" s="24">
        <v>8275</v>
      </c>
      <c r="H190" s="23">
        <v>8850</v>
      </c>
      <c r="I190" s="23">
        <v>9750</v>
      </c>
      <c r="J190" s="24">
        <v>10675</v>
      </c>
      <c r="K190" s="24">
        <v>12000</v>
      </c>
      <c r="L190" s="24">
        <v>14150</v>
      </c>
      <c r="M190" s="19"/>
    </row>
    <row r="191" ht="14.1" customHeight="1" spans="1:13">
      <c r="A191" s="19"/>
      <c r="B191" s="19"/>
      <c r="C191" s="19"/>
      <c r="D191" s="19"/>
      <c r="E191" s="19"/>
      <c r="F191" s="19"/>
      <c r="G191" s="19"/>
      <c r="H191" s="21"/>
      <c r="I191" s="21"/>
      <c r="J191" s="19"/>
      <c r="K191" s="19"/>
      <c r="L191" s="19"/>
      <c r="M191" s="19"/>
    </row>
    <row r="192" ht="14.1" customHeight="1" spans="1:13">
      <c r="A192" s="22">
        <v>169</v>
      </c>
      <c r="B192" s="19"/>
      <c r="C192" s="19" t="s">
        <v>251</v>
      </c>
      <c r="D192" s="19" t="s">
        <v>39</v>
      </c>
      <c r="E192" s="19"/>
      <c r="F192" s="19"/>
      <c r="G192" s="19"/>
      <c r="H192" s="21"/>
      <c r="I192" s="21"/>
      <c r="J192" s="19"/>
      <c r="K192" s="19"/>
      <c r="L192" s="19"/>
      <c r="M192" s="24">
        <v>18725</v>
      </c>
    </row>
    <row r="193" ht="14.1" customHeight="1" spans="1:13">
      <c r="A193" s="19"/>
      <c r="B193" s="19"/>
      <c r="C193" s="19"/>
      <c r="D193" s="19"/>
      <c r="E193" s="19"/>
      <c r="F193" s="19"/>
      <c r="G193" s="19"/>
      <c r="H193" s="21"/>
      <c r="I193" s="21"/>
      <c r="J193" s="19"/>
      <c r="K193" s="19"/>
      <c r="L193" s="19"/>
      <c r="M193" s="19"/>
    </row>
    <row r="194" ht="14.1" customHeight="1" spans="1:13">
      <c r="A194" s="22">
        <v>170</v>
      </c>
      <c r="B194" s="19"/>
      <c r="C194" s="19" t="s">
        <v>252</v>
      </c>
      <c r="D194" s="19" t="s">
        <v>39</v>
      </c>
      <c r="E194" s="19"/>
      <c r="F194" s="19"/>
      <c r="G194" s="19"/>
      <c r="H194" s="23">
        <v>8100</v>
      </c>
      <c r="I194" s="23">
        <v>8600</v>
      </c>
      <c r="J194" s="24">
        <v>9488</v>
      </c>
      <c r="K194" s="24">
        <v>11325</v>
      </c>
      <c r="L194" s="24">
        <v>13075</v>
      </c>
      <c r="M194" s="19"/>
    </row>
    <row r="195" ht="14.1" customHeight="1" spans="1:13">
      <c r="A195" s="19"/>
      <c r="B195" s="19"/>
      <c r="C195" s="19"/>
      <c r="D195" s="19"/>
      <c r="E195" s="19"/>
      <c r="F195" s="19"/>
      <c r="G195" s="19"/>
      <c r="H195" s="21"/>
      <c r="I195" s="21"/>
      <c r="J195" s="19"/>
      <c r="K195" s="19"/>
      <c r="L195" s="19"/>
      <c r="M195" s="19"/>
    </row>
    <row r="196" ht="14.1" customHeight="1" spans="1:13">
      <c r="A196" s="22">
        <v>171</v>
      </c>
      <c r="B196" s="19"/>
      <c r="C196" s="19" t="s">
        <v>253</v>
      </c>
      <c r="D196" s="19" t="s">
        <v>39</v>
      </c>
      <c r="E196" s="19"/>
      <c r="F196" s="19"/>
      <c r="G196" s="19"/>
      <c r="H196" s="21"/>
      <c r="I196" s="21"/>
      <c r="J196" s="19"/>
      <c r="K196" s="19"/>
      <c r="L196" s="19"/>
      <c r="M196" s="24">
        <v>20263</v>
      </c>
    </row>
    <row r="197" ht="14.1" customHeight="1" spans="1:13">
      <c r="A197" s="19"/>
      <c r="B197" s="19"/>
      <c r="C197" s="19"/>
      <c r="D197" s="19"/>
      <c r="E197" s="19"/>
      <c r="F197" s="19"/>
      <c r="G197" s="19"/>
      <c r="H197" s="21"/>
      <c r="I197" s="21"/>
      <c r="J197" s="19"/>
      <c r="K197" s="19"/>
      <c r="L197" s="19"/>
      <c r="M197" s="19"/>
    </row>
    <row r="198" ht="14.1" customHeight="1" spans="1:13">
      <c r="A198" s="22">
        <v>172</v>
      </c>
      <c r="B198" s="19"/>
      <c r="C198" s="19" t="s">
        <v>254</v>
      </c>
      <c r="D198" s="19" t="s">
        <v>39</v>
      </c>
      <c r="E198" s="19"/>
      <c r="F198" s="19"/>
      <c r="G198" s="19"/>
      <c r="H198" s="21"/>
      <c r="I198" s="21"/>
      <c r="J198" s="19"/>
      <c r="K198" s="19"/>
      <c r="L198" s="19"/>
      <c r="M198" s="24">
        <v>37450</v>
      </c>
    </row>
    <row r="199" ht="14.1" customHeight="1" spans="1:13">
      <c r="A199" s="19"/>
      <c r="B199" s="19"/>
      <c r="C199" s="19"/>
      <c r="D199" s="19"/>
      <c r="E199" s="19"/>
      <c r="F199" s="19"/>
      <c r="G199" s="19"/>
      <c r="H199" s="21"/>
      <c r="I199" s="21"/>
      <c r="J199" s="19"/>
      <c r="K199" s="19"/>
      <c r="L199" s="19"/>
      <c r="M199" s="19"/>
    </row>
    <row r="200" ht="14.1" customHeight="1" spans="1:13">
      <c r="A200" s="19"/>
      <c r="B200" s="19"/>
      <c r="C200" s="20" t="s">
        <v>255</v>
      </c>
      <c r="D200" s="19"/>
      <c r="E200" s="19"/>
      <c r="F200" s="19"/>
      <c r="G200" s="19"/>
      <c r="H200" s="21"/>
      <c r="I200" s="21"/>
      <c r="J200" s="19"/>
      <c r="K200" s="19"/>
      <c r="L200" s="19"/>
      <c r="M200" s="19"/>
    </row>
    <row r="201" ht="14.1" customHeight="1" spans="1:13">
      <c r="A201" s="22">
        <v>173</v>
      </c>
      <c r="B201" s="19"/>
      <c r="C201" s="19" t="s">
        <v>256</v>
      </c>
      <c r="D201" s="19" t="s">
        <v>39</v>
      </c>
      <c r="E201" s="19"/>
      <c r="F201" s="19"/>
      <c r="G201" s="24">
        <v>3763</v>
      </c>
      <c r="H201" s="23">
        <v>4175</v>
      </c>
      <c r="I201" s="23">
        <v>4775</v>
      </c>
      <c r="J201" s="24">
        <v>5275</v>
      </c>
      <c r="K201" s="24">
        <v>6400</v>
      </c>
      <c r="L201" s="24">
        <v>7600</v>
      </c>
      <c r="M201" s="19"/>
    </row>
    <row r="202" ht="14.1" customHeight="1" spans="1:13">
      <c r="A202" s="19"/>
      <c r="B202" s="19"/>
      <c r="C202" s="19"/>
      <c r="D202" s="19"/>
      <c r="E202" s="19"/>
      <c r="F202" s="19"/>
      <c r="G202" s="19"/>
      <c r="H202" s="21"/>
      <c r="I202" s="21"/>
      <c r="J202" s="19"/>
      <c r="K202" s="19"/>
      <c r="L202" s="19"/>
      <c r="M202" s="19"/>
    </row>
    <row r="203" ht="14.1" customHeight="1" spans="1:13">
      <c r="A203" s="19"/>
      <c r="B203" s="19"/>
      <c r="C203" s="20" t="s">
        <v>50</v>
      </c>
      <c r="D203" s="19"/>
      <c r="E203" s="19"/>
      <c r="F203" s="19"/>
      <c r="G203" s="19"/>
      <c r="H203" s="21"/>
      <c r="I203" s="21"/>
      <c r="J203" s="19"/>
      <c r="K203" s="19"/>
      <c r="L203" s="19"/>
      <c r="M203" s="19"/>
    </row>
    <row r="204" ht="14.1" customHeight="1" spans="1:13">
      <c r="A204" s="22">
        <v>174</v>
      </c>
      <c r="B204" s="19"/>
      <c r="C204" s="19" t="s">
        <v>257</v>
      </c>
      <c r="D204" s="19" t="s">
        <v>39</v>
      </c>
      <c r="E204" s="24">
        <v>1775</v>
      </c>
      <c r="F204" s="24">
        <v>2250</v>
      </c>
      <c r="G204" s="24">
        <v>2600</v>
      </c>
      <c r="H204" s="23">
        <v>2850</v>
      </c>
      <c r="I204" s="21"/>
      <c r="J204" s="19"/>
      <c r="K204" s="19"/>
      <c r="L204" s="19"/>
      <c r="M204" s="19"/>
    </row>
    <row r="205" ht="14.1" customHeight="1" spans="1:13">
      <c r="A205" s="19"/>
      <c r="B205" s="19"/>
      <c r="C205" s="19"/>
      <c r="D205" s="19"/>
      <c r="E205" s="19"/>
      <c r="F205" s="19"/>
      <c r="G205" s="19"/>
      <c r="H205" s="21"/>
      <c r="I205" s="21"/>
      <c r="J205" s="19"/>
      <c r="K205" s="19"/>
      <c r="L205" s="19"/>
      <c r="M205" s="19"/>
    </row>
    <row r="206" ht="14.1" customHeight="1" spans="1:13">
      <c r="A206" s="22">
        <v>175</v>
      </c>
      <c r="B206" s="19"/>
      <c r="C206" s="19" t="s">
        <v>258</v>
      </c>
      <c r="D206" s="19" t="s">
        <v>39</v>
      </c>
      <c r="E206" s="24">
        <v>2375</v>
      </c>
      <c r="F206" s="24">
        <v>2675</v>
      </c>
      <c r="G206" s="24">
        <v>3038</v>
      </c>
      <c r="H206" s="23">
        <v>3338</v>
      </c>
      <c r="I206" s="23">
        <v>3550</v>
      </c>
      <c r="J206" s="19"/>
      <c r="K206" s="19"/>
      <c r="L206" s="19"/>
      <c r="M206" s="19"/>
    </row>
    <row r="207" ht="14.1" customHeight="1" spans="1:13">
      <c r="A207" s="19"/>
      <c r="B207" s="19"/>
      <c r="C207" s="19"/>
      <c r="D207" s="19"/>
      <c r="E207" s="19"/>
      <c r="F207" s="19"/>
      <c r="G207" s="19"/>
      <c r="H207" s="21"/>
      <c r="I207" s="21"/>
      <c r="J207" s="19"/>
      <c r="K207" s="19"/>
      <c r="L207" s="19"/>
      <c r="M207" s="19"/>
    </row>
    <row r="208" ht="14.1" customHeight="1" spans="1:13">
      <c r="A208" s="22">
        <v>176</v>
      </c>
      <c r="B208" s="19"/>
      <c r="C208" s="19" t="s">
        <v>259</v>
      </c>
      <c r="D208" s="19" t="s">
        <v>39</v>
      </c>
      <c r="E208" s="19"/>
      <c r="F208" s="19"/>
      <c r="G208" s="19"/>
      <c r="H208" s="21"/>
      <c r="I208" s="21"/>
      <c r="J208" s="19"/>
      <c r="K208" s="19"/>
      <c r="L208" s="19"/>
      <c r="M208" s="24">
        <v>9225</v>
      </c>
    </row>
    <row r="209" ht="14.1" customHeight="1" spans="1:13">
      <c r="A209" s="19"/>
      <c r="B209" s="19"/>
      <c r="C209" s="19"/>
      <c r="D209" s="19"/>
      <c r="E209" s="19"/>
      <c r="F209" s="19"/>
      <c r="G209" s="19"/>
      <c r="H209" s="21"/>
      <c r="I209" s="21"/>
      <c r="J209" s="19"/>
      <c r="K209" s="19"/>
      <c r="L209" s="19"/>
      <c r="M209" s="19"/>
    </row>
    <row r="210" ht="14.1" customHeight="1" spans="1:13">
      <c r="A210" s="22">
        <v>177</v>
      </c>
      <c r="B210" s="19"/>
      <c r="C210" s="19" t="s">
        <v>260</v>
      </c>
      <c r="D210" s="19" t="s">
        <v>39</v>
      </c>
      <c r="E210" s="19"/>
      <c r="F210" s="19"/>
      <c r="G210" s="19"/>
      <c r="H210" s="21"/>
      <c r="I210" s="21"/>
      <c r="J210" s="19"/>
      <c r="K210" s="24">
        <v>6808</v>
      </c>
      <c r="L210" s="24">
        <v>8200</v>
      </c>
      <c r="M210" s="24">
        <v>9430</v>
      </c>
    </row>
    <row r="211" ht="14.1" customHeight="1" spans="1:13">
      <c r="A211" s="19"/>
      <c r="B211" s="19"/>
      <c r="C211" s="19"/>
      <c r="D211" s="19"/>
      <c r="E211" s="19"/>
      <c r="F211" s="19"/>
      <c r="G211" s="19"/>
      <c r="H211" s="21"/>
      <c r="I211" s="21"/>
      <c r="J211" s="19"/>
      <c r="K211" s="19"/>
      <c r="L211" s="19"/>
      <c r="M211" s="19"/>
    </row>
    <row r="212" ht="14.1" customHeight="1" spans="1:13">
      <c r="A212" s="22">
        <v>178</v>
      </c>
      <c r="B212" s="19"/>
      <c r="C212" s="19" t="s">
        <v>261</v>
      </c>
      <c r="D212" s="19" t="s">
        <v>39</v>
      </c>
      <c r="E212" s="19"/>
      <c r="F212" s="19"/>
      <c r="G212" s="19"/>
      <c r="H212" s="21"/>
      <c r="I212" s="21"/>
      <c r="J212" s="24">
        <v>5350</v>
      </c>
      <c r="K212" s="24">
        <v>6938</v>
      </c>
      <c r="L212" s="24">
        <v>8008</v>
      </c>
      <c r="M212" s="24">
        <v>9209</v>
      </c>
    </row>
    <row r="213" ht="14.1" customHeight="1" spans="1:13">
      <c r="A213" s="19"/>
      <c r="B213" s="19"/>
      <c r="C213" s="19"/>
      <c r="D213" s="19"/>
      <c r="E213" s="19"/>
      <c r="F213" s="19"/>
      <c r="G213" s="19"/>
      <c r="H213" s="21"/>
      <c r="I213" s="21"/>
      <c r="J213" s="19"/>
      <c r="K213" s="19"/>
      <c r="L213" s="19"/>
      <c r="M213" s="19"/>
    </row>
    <row r="214" ht="14.1" customHeight="1" spans="1:13">
      <c r="A214" s="22">
        <v>179</v>
      </c>
      <c r="B214" s="19"/>
      <c r="C214" s="19" t="s">
        <v>262</v>
      </c>
      <c r="D214" s="19" t="s">
        <v>39</v>
      </c>
      <c r="E214" s="19"/>
      <c r="F214" s="19"/>
      <c r="G214" s="19"/>
      <c r="H214" s="21"/>
      <c r="I214" s="21"/>
      <c r="J214" s="24">
        <v>6200</v>
      </c>
      <c r="K214" s="24">
        <v>7033</v>
      </c>
      <c r="L214" s="24">
        <v>9255</v>
      </c>
      <c r="M214" s="24">
        <v>10643</v>
      </c>
    </row>
    <row r="215" ht="14.1" customHeight="1" spans="1:13">
      <c r="A215" s="19"/>
      <c r="B215" s="19"/>
      <c r="C215" s="19"/>
      <c r="D215" s="19"/>
      <c r="E215" s="19"/>
      <c r="F215" s="19"/>
      <c r="G215" s="19"/>
      <c r="H215" s="21"/>
      <c r="I215" s="21"/>
      <c r="J215" s="19"/>
      <c r="K215" s="19"/>
      <c r="L215" s="19"/>
      <c r="M215" s="19"/>
    </row>
    <row r="216" ht="14.1" customHeight="1" spans="1:13">
      <c r="A216" s="22">
        <v>180</v>
      </c>
      <c r="B216" s="19"/>
      <c r="C216" s="19" t="s">
        <v>263</v>
      </c>
      <c r="D216" s="19" t="s">
        <v>39</v>
      </c>
      <c r="E216" s="24">
        <v>2083</v>
      </c>
      <c r="F216" s="24">
        <v>2567</v>
      </c>
      <c r="G216" s="24">
        <v>3233</v>
      </c>
      <c r="H216" s="23">
        <v>3863</v>
      </c>
      <c r="I216" s="23">
        <v>4513</v>
      </c>
      <c r="J216" s="19"/>
      <c r="K216" s="19"/>
      <c r="L216" s="19"/>
      <c r="M216" s="19"/>
    </row>
    <row r="217" ht="14.1" customHeight="1" spans="1:13">
      <c r="A217" s="19"/>
      <c r="B217" s="19"/>
      <c r="C217" s="19"/>
      <c r="D217" s="19"/>
      <c r="E217" s="19"/>
      <c r="F217" s="19"/>
      <c r="G217" s="19"/>
      <c r="H217" s="21"/>
      <c r="I217" s="21"/>
      <c r="J217" s="19"/>
      <c r="K217" s="19"/>
      <c r="L217" s="19"/>
      <c r="M217" s="19"/>
    </row>
    <row r="218" ht="14.1" customHeight="1" spans="1:13">
      <c r="A218" s="22">
        <v>181</v>
      </c>
      <c r="B218" s="19"/>
      <c r="C218" s="19" t="s">
        <v>264</v>
      </c>
      <c r="D218" s="19" t="s">
        <v>39</v>
      </c>
      <c r="E218" s="19"/>
      <c r="F218" s="24">
        <v>4600</v>
      </c>
      <c r="G218" s="24">
        <v>5425</v>
      </c>
      <c r="H218" s="23">
        <v>5967</v>
      </c>
      <c r="I218" s="23">
        <v>6908</v>
      </c>
      <c r="J218" s="24">
        <v>7725</v>
      </c>
      <c r="K218" s="24">
        <v>8608</v>
      </c>
      <c r="L218" s="24">
        <v>10869</v>
      </c>
      <c r="M218" s="24">
        <v>12499</v>
      </c>
    </row>
    <row r="219" ht="14.1" customHeight="1" spans="1:13">
      <c r="A219" s="19"/>
      <c r="B219" s="19"/>
      <c r="C219" s="19"/>
      <c r="D219" s="19"/>
      <c r="E219" s="19"/>
      <c r="F219" s="19"/>
      <c r="G219" s="19"/>
      <c r="H219" s="21"/>
      <c r="I219" s="21"/>
      <c r="J219" s="19"/>
      <c r="K219" s="19"/>
      <c r="L219" s="19"/>
      <c r="M219" s="19"/>
    </row>
    <row r="220" ht="14.1" customHeight="1" spans="1:13">
      <c r="A220" s="22">
        <v>182</v>
      </c>
      <c r="B220" s="19"/>
      <c r="C220" s="19" t="s">
        <v>51</v>
      </c>
      <c r="D220" s="19" t="s">
        <v>39</v>
      </c>
      <c r="E220" s="24">
        <v>2008</v>
      </c>
      <c r="F220" s="24">
        <v>2383</v>
      </c>
      <c r="G220" s="24">
        <v>2600</v>
      </c>
      <c r="H220" s="23">
        <v>3110</v>
      </c>
      <c r="I220" s="23">
        <v>3731</v>
      </c>
      <c r="J220" s="24">
        <v>4430</v>
      </c>
      <c r="K220" s="19"/>
      <c r="L220" s="19"/>
      <c r="M220" s="19"/>
    </row>
    <row r="221" ht="14.1" customHeight="1" spans="1:13">
      <c r="A221" s="19"/>
      <c r="B221" s="19"/>
      <c r="C221" s="19"/>
      <c r="D221" s="19"/>
      <c r="E221" s="19"/>
      <c r="F221" s="19"/>
      <c r="G221" s="19"/>
      <c r="H221" s="21"/>
      <c r="I221" s="21"/>
      <c r="J221" s="19"/>
      <c r="K221" s="19"/>
      <c r="L221" s="19"/>
      <c r="M221" s="19"/>
    </row>
    <row r="222" ht="14.1" customHeight="1" spans="1:13">
      <c r="A222" s="19"/>
      <c r="B222" s="19"/>
      <c r="C222" s="20" t="s">
        <v>265</v>
      </c>
      <c r="D222" s="19"/>
      <c r="E222" s="19"/>
      <c r="F222" s="19"/>
      <c r="G222" s="19"/>
      <c r="H222" s="21"/>
      <c r="I222" s="21"/>
      <c r="J222" s="19"/>
      <c r="K222" s="19"/>
      <c r="L222" s="19"/>
      <c r="M222" s="19"/>
    </row>
    <row r="223" ht="14.1" customHeight="1" spans="1:13">
      <c r="A223" s="22">
        <v>183</v>
      </c>
      <c r="B223" s="19"/>
      <c r="C223" s="19" t="s">
        <v>266</v>
      </c>
      <c r="D223" s="19" t="s">
        <v>39</v>
      </c>
      <c r="E223" s="24">
        <v>4088</v>
      </c>
      <c r="F223" s="24">
        <v>5025</v>
      </c>
      <c r="G223" s="24">
        <v>5875</v>
      </c>
      <c r="H223" s="23">
        <v>8575</v>
      </c>
      <c r="I223" s="23">
        <v>8700</v>
      </c>
      <c r="J223" s="24">
        <v>9896</v>
      </c>
      <c r="K223" s="24">
        <v>10683</v>
      </c>
      <c r="L223" s="24">
        <v>12571</v>
      </c>
      <c r="M223" s="24">
        <v>14457</v>
      </c>
    </row>
    <row r="224" ht="14.1" customHeight="1" spans="1:13">
      <c r="A224" s="19"/>
      <c r="B224" s="19"/>
      <c r="C224" s="19"/>
      <c r="D224" s="19"/>
      <c r="E224" s="19"/>
      <c r="F224" s="19"/>
      <c r="G224" s="19"/>
      <c r="H224" s="21"/>
      <c r="I224" s="21"/>
      <c r="J224" s="19"/>
      <c r="K224" s="19"/>
      <c r="L224" s="19"/>
      <c r="M224" s="19"/>
    </row>
    <row r="225" ht="14.1" customHeight="1" spans="1:13">
      <c r="A225" s="22">
        <v>184</v>
      </c>
      <c r="B225" s="19"/>
      <c r="C225" s="19" t="s">
        <v>267</v>
      </c>
      <c r="D225" s="19" t="s">
        <v>39</v>
      </c>
      <c r="E225" s="24">
        <v>7175</v>
      </c>
      <c r="F225" s="24">
        <v>7650</v>
      </c>
      <c r="G225" s="24">
        <v>8250</v>
      </c>
      <c r="H225" s="23">
        <v>8875</v>
      </c>
      <c r="I225" s="23">
        <v>11083</v>
      </c>
      <c r="J225" s="24">
        <v>11858</v>
      </c>
      <c r="K225" s="19"/>
      <c r="L225" s="19"/>
      <c r="M225" s="24">
        <v>23375</v>
      </c>
    </row>
    <row r="226" ht="14.1" customHeight="1" spans="1:13">
      <c r="A226" s="19"/>
      <c r="B226" s="19"/>
      <c r="C226" s="19"/>
      <c r="D226" s="19"/>
      <c r="E226" s="19"/>
      <c r="F226" s="19"/>
      <c r="G226" s="19"/>
      <c r="H226" s="21"/>
      <c r="I226" s="21"/>
      <c r="J226" s="19"/>
      <c r="K226" s="19"/>
      <c r="L226" s="19"/>
      <c r="M226" s="19"/>
    </row>
    <row r="227" ht="14.1" customHeight="1" spans="1:13">
      <c r="A227" s="19"/>
      <c r="B227" s="19"/>
      <c r="C227" s="20" t="s">
        <v>268</v>
      </c>
      <c r="D227" s="19"/>
      <c r="E227" s="19"/>
      <c r="F227" s="19"/>
      <c r="G227" s="19"/>
      <c r="H227" s="21"/>
      <c r="I227" s="21"/>
      <c r="J227" s="19"/>
      <c r="K227" s="19"/>
      <c r="L227" s="19"/>
      <c r="M227" s="19"/>
    </row>
    <row r="228" ht="14.1" customHeight="1" spans="1:13">
      <c r="A228" s="22">
        <v>185</v>
      </c>
      <c r="B228" s="19"/>
      <c r="C228" s="19" t="s">
        <v>269</v>
      </c>
      <c r="D228" s="19" t="s">
        <v>39</v>
      </c>
      <c r="E228" s="19"/>
      <c r="F228" s="24">
        <v>2250</v>
      </c>
      <c r="G228" s="24">
        <v>2425</v>
      </c>
      <c r="H228" s="23">
        <v>2750</v>
      </c>
      <c r="I228" s="23">
        <v>3125</v>
      </c>
      <c r="J228" s="19"/>
      <c r="K228" s="19"/>
      <c r="L228" s="19"/>
      <c r="M228" s="19"/>
    </row>
    <row r="229" ht="14.1" customHeight="1" spans="1:13">
      <c r="A229" s="19"/>
      <c r="B229" s="19"/>
      <c r="C229" s="19"/>
      <c r="D229" s="19"/>
      <c r="E229" s="19"/>
      <c r="F229" s="19"/>
      <c r="G229" s="19"/>
      <c r="H229" s="21"/>
      <c r="I229" s="21"/>
      <c r="J229" s="19"/>
      <c r="K229" s="19"/>
      <c r="L229" s="19"/>
      <c r="M229" s="19"/>
    </row>
    <row r="230" ht="14.1" customHeight="1" spans="1:13">
      <c r="A230" s="22">
        <v>186</v>
      </c>
      <c r="B230" s="19"/>
      <c r="C230" s="19" t="s">
        <v>270</v>
      </c>
      <c r="D230" s="19" t="s">
        <v>39</v>
      </c>
      <c r="E230" s="19"/>
      <c r="F230" s="19"/>
      <c r="G230" s="19"/>
      <c r="H230" s="21"/>
      <c r="I230" s="21"/>
      <c r="J230" s="19"/>
      <c r="K230" s="19"/>
      <c r="L230" s="19"/>
      <c r="M230" s="24">
        <v>10275</v>
      </c>
    </row>
    <row r="231" ht="14.1" customHeight="1" spans="1:13">
      <c r="A231" s="19"/>
      <c r="B231" s="19"/>
      <c r="C231" s="19"/>
      <c r="D231" s="19"/>
      <c r="E231" s="19"/>
      <c r="F231" s="19"/>
      <c r="G231" s="19"/>
      <c r="H231" s="21"/>
      <c r="I231" s="21"/>
      <c r="J231" s="19"/>
      <c r="K231" s="19"/>
      <c r="L231" s="19"/>
      <c r="M231" s="19"/>
    </row>
    <row r="232" ht="14.1" customHeight="1" spans="1:13">
      <c r="A232" s="22">
        <v>187</v>
      </c>
      <c r="B232" s="19"/>
      <c r="C232" s="19" t="s">
        <v>271</v>
      </c>
      <c r="D232" s="19" t="s">
        <v>39</v>
      </c>
      <c r="E232" s="19"/>
      <c r="F232" s="19"/>
      <c r="G232" s="19"/>
      <c r="H232" s="21"/>
      <c r="I232" s="21"/>
      <c r="J232" s="19"/>
      <c r="K232" s="19"/>
      <c r="L232" s="19"/>
      <c r="M232" s="24">
        <v>10863</v>
      </c>
    </row>
    <row r="233" ht="14.1" customHeight="1" spans="1:13">
      <c r="A233" s="19"/>
      <c r="B233" s="19"/>
      <c r="C233" s="19"/>
      <c r="D233" s="19"/>
      <c r="E233" s="19"/>
      <c r="F233" s="19"/>
      <c r="G233" s="19"/>
      <c r="H233" s="21"/>
      <c r="I233" s="21"/>
      <c r="J233" s="19"/>
      <c r="K233" s="19"/>
      <c r="L233" s="19"/>
      <c r="M233" s="19"/>
    </row>
    <row r="234" ht="14.1" customHeight="1" spans="1:13">
      <c r="A234" s="22">
        <v>188</v>
      </c>
      <c r="B234" s="19"/>
      <c r="C234" s="19" t="s">
        <v>272</v>
      </c>
      <c r="D234" s="19" t="s">
        <v>39</v>
      </c>
      <c r="E234" s="19"/>
      <c r="F234" s="19"/>
      <c r="G234" s="19"/>
      <c r="H234" s="21"/>
      <c r="I234" s="21"/>
      <c r="J234" s="19"/>
      <c r="K234" s="19"/>
      <c r="L234" s="24">
        <v>10288</v>
      </c>
      <c r="M234" s="19"/>
    </row>
    <row r="235" ht="14.1" customHeight="1" spans="1:13">
      <c r="A235" s="19"/>
      <c r="B235" s="19"/>
      <c r="C235" s="19"/>
      <c r="D235" s="19"/>
      <c r="E235" s="19"/>
      <c r="F235" s="19"/>
      <c r="G235" s="19"/>
      <c r="H235" s="21"/>
      <c r="I235" s="21"/>
      <c r="J235" s="19"/>
      <c r="K235" s="19"/>
      <c r="L235" s="19"/>
      <c r="M235" s="19"/>
    </row>
    <row r="236" ht="14.1" customHeight="1" spans="1:13">
      <c r="A236" s="22">
        <v>189</v>
      </c>
      <c r="B236" s="19"/>
      <c r="C236" s="19" t="s">
        <v>273</v>
      </c>
      <c r="D236" s="19" t="s">
        <v>39</v>
      </c>
      <c r="E236" s="24">
        <v>1650</v>
      </c>
      <c r="F236" s="24">
        <v>1913</v>
      </c>
      <c r="G236" s="24">
        <v>2088</v>
      </c>
      <c r="H236" s="21"/>
      <c r="I236" s="21"/>
      <c r="J236" s="19"/>
      <c r="K236" s="19"/>
      <c r="L236" s="19"/>
      <c r="M236" s="19"/>
    </row>
    <row r="237" ht="14.1" customHeight="1" spans="1:13">
      <c r="A237" s="19"/>
      <c r="B237" s="19"/>
      <c r="C237" s="19"/>
      <c r="D237" s="19"/>
      <c r="E237" s="19"/>
      <c r="F237" s="19"/>
      <c r="G237" s="19"/>
      <c r="H237" s="21"/>
      <c r="I237" s="21"/>
      <c r="J237" s="19"/>
      <c r="K237" s="19"/>
      <c r="L237" s="19"/>
      <c r="M237" s="19"/>
    </row>
    <row r="238" ht="14.1" customHeight="1" spans="1:13">
      <c r="A238" s="22">
        <v>190</v>
      </c>
      <c r="B238" s="19"/>
      <c r="C238" s="19" t="s">
        <v>274</v>
      </c>
      <c r="D238" s="19" t="s">
        <v>39</v>
      </c>
      <c r="E238" s="24">
        <v>1908</v>
      </c>
      <c r="F238" s="24">
        <v>2125</v>
      </c>
      <c r="G238" s="24">
        <v>2720</v>
      </c>
      <c r="H238" s="23">
        <v>2930</v>
      </c>
      <c r="I238" s="23">
        <v>3500</v>
      </c>
      <c r="J238" s="24">
        <v>4450</v>
      </c>
      <c r="K238" s="24">
        <v>5205</v>
      </c>
      <c r="L238" s="24">
        <v>6244</v>
      </c>
      <c r="M238" s="19"/>
    </row>
    <row r="239" ht="14.1" customHeight="1" spans="1:13">
      <c r="A239" s="19"/>
      <c r="B239" s="19"/>
      <c r="C239" s="19"/>
      <c r="D239" s="19"/>
      <c r="E239" s="19"/>
      <c r="F239" s="19"/>
      <c r="G239" s="19"/>
      <c r="H239" s="21"/>
      <c r="I239" s="21"/>
      <c r="J239" s="19"/>
      <c r="K239" s="19"/>
      <c r="L239" s="19"/>
      <c r="M239" s="19"/>
    </row>
    <row r="240" ht="14.1" customHeight="1" spans="1:13">
      <c r="A240" s="22">
        <v>191</v>
      </c>
      <c r="B240" s="19"/>
      <c r="C240" s="19" t="s">
        <v>275</v>
      </c>
      <c r="D240" s="19" t="s">
        <v>39</v>
      </c>
      <c r="E240" s="24">
        <v>1667</v>
      </c>
      <c r="F240" s="24">
        <v>1833</v>
      </c>
      <c r="G240" s="19"/>
      <c r="H240" s="21"/>
      <c r="I240" s="21"/>
      <c r="J240" s="19"/>
      <c r="K240" s="19"/>
      <c r="L240" s="19"/>
      <c r="M240" s="19"/>
    </row>
    <row r="241" ht="14.1" customHeight="1" spans="1:13">
      <c r="A241" s="19"/>
      <c r="B241" s="19"/>
      <c r="C241" s="19"/>
      <c r="D241" s="19"/>
      <c r="E241" s="19"/>
      <c r="F241" s="19"/>
      <c r="G241" s="19"/>
      <c r="H241" s="21"/>
      <c r="I241" s="21"/>
      <c r="J241" s="19"/>
      <c r="K241" s="19"/>
      <c r="L241" s="19"/>
      <c r="M241" s="19"/>
    </row>
    <row r="242" ht="14.1" customHeight="1" spans="1:13">
      <c r="A242" s="19"/>
      <c r="B242" s="19"/>
      <c r="C242" s="20" t="s">
        <v>276</v>
      </c>
      <c r="D242" s="19"/>
      <c r="E242" s="19"/>
      <c r="F242" s="19"/>
      <c r="G242" s="19"/>
      <c r="H242" s="21"/>
      <c r="I242" s="21"/>
      <c r="J242" s="19"/>
      <c r="K242" s="19"/>
      <c r="L242" s="19"/>
      <c r="M242" s="19"/>
    </row>
    <row r="243" ht="14.1" customHeight="1" spans="1:13">
      <c r="A243" s="22">
        <v>192</v>
      </c>
      <c r="B243" s="19"/>
      <c r="C243" s="19" t="s">
        <v>277</v>
      </c>
      <c r="D243" s="19" t="s">
        <v>39</v>
      </c>
      <c r="E243" s="19"/>
      <c r="F243" s="19"/>
      <c r="G243" s="19"/>
      <c r="H243" s="21"/>
      <c r="I243" s="23">
        <v>8375</v>
      </c>
      <c r="J243" s="24">
        <v>9225</v>
      </c>
      <c r="K243" s="24">
        <v>10775</v>
      </c>
      <c r="L243" s="24">
        <v>13169</v>
      </c>
      <c r="M243" s="19"/>
    </row>
    <row r="244" ht="14.1" customHeight="1" spans="1:13">
      <c r="A244" s="19"/>
      <c r="B244" s="19"/>
      <c r="C244" s="19"/>
      <c r="D244" s="19"/>
      <c r="E244" s="19"/>
      <c r="F244" s="19"/>
      <c r="G244" s="19"/>
      <c r="H244" s="21"/>
      <c r="I244" s="21"/>
      <c r="J244" s="19"/>
      <c r="K244" s="19"/>
      <c r="L244" s="19"/>
      <c r="M244" s="19"/>
    </row>
    <row r="245" ht="14.1" customHeight="1" spans="1:13">
      <c r="A245" s="22">
        <v>193</v>
      </c>
      <c r="B245" s="19"/>
      <c r="C245" s="19" t="s">
        <v>278</v>
      </c>
      <c r="D245" s="19" t="s">
        <v>39</v>
      </c>
      <c r="E245" s="19"/>
      <c r="F245" s="19"/>
      <c r="G245" s="19"/>
      <c r="H245" s="21"/>
      <c r="I245" s="21"/>
      <c r="J245" s="19"/>
      <c r="K245" s="19"/>
      <c r="L245" s="19"/>
      <c r="M245" s="24">
        <v>14558</v>
      </c>
    </row>
    <row r="246" ht="14.1" customHeight="1" spans="1:13">
      <c r="A246" s="19"/>
      <c r="B246" s="19"/>
      <c r="C246" s="19"/>
      <c r="D246" s="19"/>
      <c r="E246" s="19"/>
      <c r="F246" s="19"/>
      <c r="G246" s="19"/>
      <c r="H246" s="21"/>
      <c r="I246" s="21"/>
      <c r="J246" s="19"/>
      <c r="K246" s="19"/>
      <c r="L246" s="19"/>
      <c r="M246" s="19"/>
    </row>
    <row r="247" ht="14.1" customHeight="1" spans="1:13">
      <c r="A247" s="22">
        <v>194</v>
      </c>
      <c r="B247" s="19"/>
      <c r="C247" s="19" t="s">
        <v>279</v>
      </c>
      <c r="D247" s="19" t="s">
        <v>39</v>
      </c>
      <c r="E247" s="19"/>
      <c r="F247" s="19"/>
      <c r="G247" s="19"/>
      <c r="H247" s="21"/>
      <c r="I247" s="21"/>
      <c r="J247" s="19"/>
      <c r="K247" s="19"/>
      <c r="L247" s="19"/>
      <c r="M247" s="24">
        <v>16208</v>
      </c>
    </row>
    <row r="248" ht="14.1" customHeight="1" spans="1:13">
      <c r="A248" s="19"/>
      <c r="B248" s="19"/>
      <c r="C248" s="19"/>
      <c r="D248" s="19"/>
      <c r="E248" s="19"/>
      <c r="F248" s="19"/>
      <c r="G248" s="19"/>
      <c r="H248" s="21"/>
      <c r="I248" s="21"/>
      <c r="J248" s="19"/>
      <c r="K248" s="19"/>
      <c r="L248" s="19"/>
      <c r="M248" s="19"/>
    </row>
    <row r="249" ht="14.1" customHeight="1" spans="1:13">
      <c r="A249" s="22">
        <v>195</v>
      </c>
      <c r="B249" s="19"/>
      <c r="C249" s="19" t="s">
        <v>280</v>
      </c>
      <c r="D249" s="19" t="s">
        <v>39</v>
      </c>
      <c r="E249" s="19"/>
      <c r="F249" s="19"/>
      <c r="G249" s="19"/>
      <c r="H249" s="21"/>
      <c r="I249" s="21"/>
      <c r="J249" s="19"/>
      <c r="K249" s="19"/>
      <c r="L249" s="19"/>
      <c r="M249" s="24">
        <v>13875</v>
      </c>
    </row>
    <row r="250" ht="14.1" customHeight="1" spans="1:13">
      <c r="A250" s="19"/>
      <c r="B250" s="19"/>
      <c r="C250" s="19"/>
      <c r="D250" s="19"/>
      <c r="E250" s="19"/>
      <c r="F250" s="19"/>
      <c r="G250" s="19"/>
      <c r="H250" s="21"/>
      <c r="I250" s="21"/>
      <c r="J250" s="19"/>
      <c r="K250" s="19"/>
      <c r="L250" s="19"/>
      <c r="M250" s="19"/>
    </row>
    <row r="251" ht="14.1" customHeight="1" spans="1:13">
      <c r="A251" s="22">
        <v>196</v>
      </c>
      <c r="B251" s="19"/>
      <c r="C251" s="19" t="s">
        <v>281</v>
      </c>
      <c r="D251" s="19" t="s">
        <v>39</v>
      </c>
      <c r="E251" s="19"/>
      <c r="F251" s="19"/>
      <c r="G251" s="19"/>
      <c r="H251" s="21"/>
      <c r="I251" s="21"/>
      <c r="J251" s="19"/>
      <c r="K251" s="19"/>
      <c r="L251" s="19"/>
      <c r="M251" s="24">
        <v>16033</v>
      </c>
    </row>
    <row r="252" ht="14.1" customHeight="1" spans="1:13">
      <c r="A252" s="19"/>
      <c r="B252" s="19"/>
      <c r="C252" s="19"/>
      <c r="D252" s="19"/>
      <c r="E252" s="19"/>
      <c r="F252" s="19"/>
      <c r="G252" s="19"/>
      <c r="H252" s="21"/>
      <c r="I252" s="21"/>
      <c r="J252" s="19"/>
      <c r="K252" s="19"/>
      <c r="L252" s="19"/>
      <c r="M252" s="19"/>
    </row>
    <row r="253" ht="14.1" customHeight="1" spans="1:13">
      <c r="A253" s="19"/>
      <c r="B253" s="19"/>
      <c r="C253" s="20" t="s">
        <v>53</v>
      </c>
      <c r="D253" s="19"/>
      <c r="E253" s="19"/>
      <c r="F253" s="19"/>
      <c r="G253" s="19"/>
      <c r="H253" s="21"/>
      <c r="I253" s="21"/>
      <c r="J253" s="19"/>
      <c r="K253" s="19"/>
      <c r="L253" s="19"/>
      <c r="M253" s="19"/>
    </row>
    <row r="254" ht="14.1" customHeight="1" spans="1:13">
      <c r="A254" s="22">
        <v>197</v>
      </c>
      <c r="B254" s="19"/>
      <c r="C254" s="19" t="s">
        <v>282</v>
      </c>
      <c r="D254" s="19" t="s">
        <v>39</v>
      </c>
      <c r="E254" s="24">
        <v>7692</v>
      </c>
      <c r="F254" s="24">
        <v>8833</v>
      </c>
      <c r="G254" s="19"/>
      <c r="H254" s="21"/>
      <c r="I254" s="21"/>
      <c r="J254" s="19"/>
      <c r="K254" s="19"/>
      <c r="L254" s="19"/>
      <c r="M254" s="19"/>
    </row>
    <row r="255" ht="14.1" customHeight="1" spans="1:13">
      <c r="A255" s="19"/>
      <c r="B255" s="19"/>
      <c r="C255" s="19"/>
      <c r="D255" s="19"/>
      <c r="E255" s="19"/>
      <c r="F255" s="19"/>
      <c r="G255" s="19"/>
      <c r="H255" s="21"/>
      <c r="I255" s="21"/>
      <c r="J255" s="19"/>
      <c r="K255" s="19"/>
      <c r="L255" s="19"/>
      <c r="M255" s="19"/>
    </row>
    <row r="256" ht="14.1" customHeight="1" spans="1:13">
      <c r="A256" s="22">
        <v>198</v>
      </c>
      <c r="B256" s="19"/>
      <c r="C256" s="19" t="s">
        <v>283</v>
      </c>
      <c r="D256" s="19" t="s">
        <v>39</v>
      </c>
      <c r="E256" s="24">
        <v>3113</v>
      </c>
      <c r="F256" s="24">
        <v>3400</v>
      </c>
      <c r="G256" s="24">
        <v>3500</v>
      </c>
      <c r="H256" s="23">
        <v>3600</v>
      </c>
      <c r="I256" s="23">
        <v>4200</v>
      </c>
      <c r="J256" s="24">
        <v>4700</v>
      </c>
      <c r="K256" s="24">
        <v>5725</v>
      </c>
      <c r="L256" s="24">
        <v>7388</v>
      </c>
      <c r="M256" s="24">
        <v>8496</v>
      </c>
    </row>
    <row r="257" ht="14.1" customHeight="1" spans="1:13">
      <c r="A257" s="19"/>
      <c r="B257" s="19"/>
      <c r="C257" s="19"/>
      <c r="D257" s="19"/>
      <c r="E257" s="19"/>
      <c r="F257" s="19"/>
      <c r="G257" s="19"/>
      <c r="H257" s="21"/>
      <c r="I257" s="21"/>
      <c r="J257" s="19"/>
      <c r="K257" s="19"/>
      <c r="L257" s="19"/>
      <c r="M257" s="19"/>
    </row>
    <row r="258" ht="14.1" customHeight="1" spans="1:13">
      <c r="A258" s="22">
        <v>199</v>
      </c>
      <c r="B258" s="19"/>
      <c r="C258" s="19" t="s">
        <v>284</v>
      </c>
      <c r="D258" s="19" t="s">
        <v>39</v>
      </c>
      <c r="E258" s="19"/>
      <c r="F258" s="19"/>
      <c r="G258" s="24">
        <v>3850</v>
      </c>
      <c r="H258" s="23">
        <v>4413</v>
      </c>
      <c r="I258" s="23">
        <v>5375</v>
      </c>
      <c r="J258" s="24">
        <v>6394</v>
      </c>
      <c r="K258" s="24">
        <v>7650</v>
      </c>
      <c r="L258" s="24">
        <v>9217</v>
      </c>
      <c r="M258" s="24">
        <v>10600</v>
      </c>
    </row>
    <row r="259" ht="14.1" customHeight="1" spans="1:13">
      <c r="A259" s="19"/>
      <c r="B259" s="19"/>
      <c r="C259" s="19"/>
      <c r="D259" s="19"/>
      <c r="E259" s="19"/>
      <c r="F259" s="19"/>
      <c r="G259" s="19"/>
      <c r="H259" s="21"/>
      <c r="I259" s="21"/>
      <c r="J259" s="19"/>
      <c r="K259" s="19"/>
      <c r="L259" s="19"/>
      <c r="M259" s="19"/>
    </row>
    <row r="260" ht="14.1" customHeight="1" spans="1:13">
      <c r="A260" s="22">
        <v>200</v>
      </c>
      <c r="B260" s="19"/>
      <c r="C260" s="19" t="s">
        <v>285</v>
      </c>
      <c r="D260" s="19" t="s">
        <v>39</v>
      </c>
      <c r="E260" s="24">
        <v>1642</v>
      </c>
      <c r="F260" s="24">
        <v>2150</v>
      </c>
      <c r="G260" s="24">
        <v>2363</v>
      </c>
      <c r="H260" s="23">
        <v>2538</v>
      </c>
      <c r="I260" s="23">
        <v>3258</v>
      </c>
      <c r="J260" s="24">
        <v>3808</v>
      </c>
      <c r="K260" s="24">
        <v>5300</v>
      </c>
      <c r="L260" s="24">
        <v>6650</v>
      </c>
      <c r="M260" s="24">
        <v>7648</v>
      </c>
    </row>
    <row r="261" ht="14.1" customHeight="1" spans="1:13">
      <c r="A261" s="19"/>
      <c r="B261" s="19"/>
      <c r="C261" s="19"/>
      <c r="D261" s="19"/>
      <c r="E261" s="19"/>
      <c r="F261" s="19"/>
      <c r="G261" s="19"/>
      <c r="H261" s="21"/>
      <c r="I261" s="21"/>
      <c r="J261" s="19"/>
      <c r="K261" s="19"/>
      <c r="L261" s="19"/>
      <c r="M261" s="19"/>
    </row>
    <row r="262" ht="14.1" customHeight="1" spans="1:13">
      <c r="A262" s="22">
        <v>201</v>
      </c>
      <c r="B262" s="19"/>
      <c r="C262" s="19" t="s">
        <v>286</v>
      </c>
      <c r="D262" s="19" t="s">
        <v>39</v>
      </c>
      <c r="E262" s="19"/>
      <c r="F262" s="19"/>
      <c r="G262" s="19"/>
      <c r="H262" s="21"/>
      <c r="I262" s="23">
        <v>3533</v>
      </c>
      <c r="J262" s="24">
        <v>6225</v>
      </c>
      <c r="K262" s="24">
        <v>7403</v>
      </c>
      <c r="L262" s="24">
        <v>10838</v>
      </c>
      <c r="M262" s="24">
        <v>12464</v>
      </c>
    </row>
    <row r="263" ht="14.1" customHeight="1" spans="1:13">
      <c r="A263" s="19"/>
      <c r="B263" s="19"/>
      <c r="C263" s="19"/>
      <c r="D263" s="19"/>
      <c r="E263" s="19"/>
      <c r="F263" s="19"/>
      <c r="G263" s="19"/>
      <c r="H263" s="21"/>
      <c r="I263" s="21"/>
      <c r="J263" s="19"/>
      <c r="K263" s="19"/>
      <c r="L263" s="19"/>
      <c r="M263" s="19"/>
    </row>
    <row r="264" ht="14.1" customHeight="1" spans="1:13">
      <c r="A264" s="22">
        <v>202</v>
      </c>
      <c r="B264" s="19"/>
      <c r="C264" s="19" t="s">
        <v>54</v>
      </c>
      <c r="D264" s="19" t="s">
        <v>39</v>
      </c>
      <c r="E264" s="24">
        <v>1581</v>
      </c>
      <c r="F264" s="24">
        <v>1717</v>
      </c>
      <c r="G264" s="24">
        <v>1983</v>
      </c>
      <c r="H264" s="23">
        <v>2244</v>
      </c>
      <c r="I264" s="23">
        <v>2575</v>
      </c>
      <c r="J264" s="19"/>
      <c r="K264" s="19"/>
      <c r="L264" s="19"/>
      <c r="M264" s="19"/>
    </row>
    <row r="265" ht="14.1" customHeight="1" spans="1:13">
      <c r="A265" s="19"/>
      <c r="B265" s="19"/>
      <c r="C265" s="19"/>
      <c r="D265" s="19"/>
      <c r="E265" s="19"/>
      <c r="F265" s="19"/>
      <c r="G265" s="19"/>
      <c r="H265" s="21"/>
      <c r="I265" s="21"/>
      <c r="J265" s="19"/>
      <c r="K265" s="19"/>
      <c r="L265" s="19"/>
      <c r="M265" s="19"/>
    </row>
    <row r="266" ht="14.1" customHeight="1" spans="1:13">
      <c r="A266" s="19"/>
      <c r="B266" s="19"/>
      <c r="C266" s="20" t="s">
        <v>287</v>
      </c>
      <c r="D266" s="19"/>
      <c r="E266" s="19"/>
      <c r="F266" s="19"/>
      <c r="G266" s="19"/>
      <c r="H266" s="21"/>
      <c r="I266" s="21"/>
      <c r="J266" s="19"/>
      <c r="K266" s="19"/>
      <c r="L266" s="19"/>
      <c r="M266" s="19"/>
    </row>
    <row r="267" ht="14.1" customHeight="1" spans="1:13">
      <c r="A267" s="22">
        <v>203</v>
      </c>
      <c r="B267" s="19"/>
      <c r="C267" s="19" t="s">
        <v>288</v>
      </c>
      <c r="D267" s="19" t="s">
        <v>39</v>
      </c>
      <c r="E267" s="24">
        <v>2067</v>
      </c>
      <c r="F267" s="19"/>
      <c r="G267" s="19"/>
      <c r="H267" s="21"/>
      <c r="I267" s="21"/>
      <c r="J267" s="19"/>
      <c r="K267" s="19"/>
      <c r="L267" s="19"/>
      <c r="M267" s="19"/>
    </row>
    <row r="268" ht="14.1" customHeight="1" spans="1:13">
      <c r="A268" s="19"/>
      <c r="B268" s="19"/>
      <c r="C268" s="19"/>
      <c r="D268" s="19"/>
      <c r="E268" s="19"/>
      <c r="F268" s="19"/>
      <c r="G268" s="19"/>
      <c r="H268" s="21"/>
      <c r="I268" s="21"/>
      <c r="J268" s="19"/>
      <c r="K268" s="19"/>
      <c r="L268" s="19"/>
      <c r="M268" s="19"/>
    </row>
    <row r="269" ht="14.1" customHeight="1" spans="1:13">
      <c r="A269" s="22">
        <v>204</v>
      </c>
      <c r="B269" s="19"/>
      <c r="C269" s="19" t="s">
        <v>289</v>
      </c>
      <c r="D269" s="19" t="s">
        <v>39</v>
      </c>
      <c r="E269" s="24">
        <v>4967</v>
      </c>
      <c r="F269" s="19"/>
      <c r="G269" s="19"/>
      <c r="H269" s="21"/>
      <c r="I269" s="21"/>
      <c r="J269" s="19"/>
      <c r="K269" s="19"/>
      <c r="L269" s="19"/>
      <c r="M269" s="19"/>
    </row>
    <row r="270" ht="14.1" customHeight="1" spans="1:13">
      <c r="A270" s="19"/>
      <c r="B270" s="19"/>
      <c r="C270" s="19"/>
      <c r="D270" s="19"/>
      <c r="E270" s="19"/>
      <c r="F270" s="19"/>
      <c r="G270" s="19"/>
      <c r="H270" s="21"/>
      <c r="I270" s="21"/>
      <c r="J270" s="19"/>
      <c r="K270" s="19"/>
      <c r="L270" s="19"/>
      <c r="M270" s="19"/>
    </row>
    <row r="271" ht="14.1" customHeight="1" spans="1:13">
      <c r="A271" s="22">
        <v>205</v>
      </c>
      <c r="B271" s="19"/>
      <c r="C271" s="19" t="s">
        <v>290</v>
      </c>
      <c r="D271" s="19" t="s">
        <v>39</v>
      </c>
      <c r="E271" s="24">
        <v>2838</v>
      </c>
      <c r="F271" s="24">
        <v>3375</v>
      </c>
      <c r="G271" s="24">
        <v>3638</v>
      </c>
      <c r="H271" s="23">
        <v>3975</v>
      </c>
      <c r="I271" s="23">
        <v>5400</v>
      </c>
      <c r="J271" s="24">
        <v>6033</v>
      </c>
      <c r="K271" s="24">
        <v>7017</v>
      </c>
      <c r="L271" s="24">
        <v>8008</v>
      </c>
      <c r="M271" s="24">
        <v>9209</v>
      </c>
    </row>
    <row r="272" ht="14.1" customHeight="1" spans="1:13">
      <c r="A272" s="19"/>
      <c r="B272" s="19"/>
      <c r="C272" s="19"/>
      <c r="D272" s="19"/>
      <c r="E272" s="19"/>
      <c r="F272" s="19"/>
      <c r="G272" s="19"/>
      <c r="H272" s="21"/>
      <c r="I272" s="21"/>
      <c r="J272" s="19"/>
      <c r="K272" s="19"/>
      <c r="L272" s="19"/>
      <c r="M272" s="19"/>
    </row>
    <row r="273" ht="14.1" customHeight="1" spans="1:13">
      <c r="A273" s="22">
        <v>206</v>
      </c>
      <c r="B273" s="19"/>
      <c r="C273" s="19" t="s">
        <v>291</v>
      </c>
      <c r="D273" s="19" t="s">
        <v>39</v>
      </c>
      <c r="E273" s="19"/>
      <c r="F273" s="19"/>
      <c r="G273" s="19"/>
      <c r="H273" s="21"/>
      <c r="I273" s="21"/>
      <c r="J273" s="19"/>
      <c r="K273" s="19"/>
      <c r="L273" s="19"/>
      <c r="M273" s="24">
        <v>9615</v>
      </c>
    </row>
    <row r="274" ht="14.1" customHeight="1" spans="1:13">
      <c r="A274" s="19"/>
      <c r="B274" s="19"/>
      <c r="C274" s="19"/>
      <c r="D274" s="19"/>
      <c r="E274" s="19"/>
      <c r="F274" s="19"/>
      <c r="G274" s="19"/>
      <c r="H274" s="21"/>
      <c r="I274" s="21"/>
      <c r="J274" s="19"/>
      <c r="K274" s="19"/>
      <c r="L274" s="19"/>
      <c r="M274" s="19"/>
    </row>
    <row r="275" ht="14.1" customHeight="1" spans="1:13">
      <c r="A275" s="22">
        <v>207</v>
      </c>
      <c r="B275" s="19"/>
      <c r="C275" s="19" t="s">
        <v>292</v>
      </c>
      <c r="D275" s="19" t="s">
        <v>39</v>
      </c>
      <c r="E275" s="24">
        <v>2085</v>
      </c>
      <c r="F275" s="24">
        <v>2458</v>
      </c>
      <c r="G275" s="24">
        <v>3092</v>
      </c>
      <c r="H275" s="23">
        <v>3317</v>
      </c>
      <c r="I275" s="23">
        <v>3844</v>
      </c>
      <c r="J275" s="24">
        <v>4280</v>
      </c>
      <c r="K275" s="24">
        <v>5120</v>
      </c>
      <c r="L275" s="24">
        <v>6244</v>
      </c>
      <c r="M275" s="24">
        <v>7181</v>
      </c>
    </row>
    <row r="276" ht="14.1" customHeight="1" spans="1:13">
      <c r="A276" s="19"/>
      <c r="B276" s="19"/>
      <c r="C276" s="19"/>
      <c r="D276" s="19"/>
      <c r="E276" s="19"/>
      <c r="F276" s="19"/>
      <c r="G276" s="19"/>
      <c r="H276" s="21"/>
      <c r="I276" s="21"/>
      <c r="J276" s="19"/>
      <c r="K276" s="19"/>
      <c r="L276" s="19"/>
      <c r="M276" s="19"/>
    </row>
    <row r="277" ht="14.1" customHeight="1" spans="1:13">
      <c r="A277" s="22">
        <v>208</v>
      </c>
      <c r="B277" s="19"/>
      <c r="C277" s="19" t="s">
        <v>293</v>
      </c>
      <c r="D277" s="19" t="s">
        <v>39</v>
      </c>
      <c r="E277" s="19"/>
      <c r="F277" s="19"/>
      <c r="G277" s="19"/>
      <c r="H277" s="21"/>
      <c r="I277" s="21"/>
      <c r="J277" s="19"/>
      <c r="K277" s="19"/>
      <c r="L277" s="19"/>
      <c r="M277" s="24">
        <v>7820</v>
      </c>
    </row>
    <row r="278" ht="14.1" customHeight="1" spans="1:13">
      <c r="A278" s="19"/>
      <c r="B278" s="19"/>
      <c r="C278" s="19"/>
      <c r="D278" s="19"/>
      <c r="E278" s="19"/>
      <c r="F278" s="19"/>
      <c r="G278" s="19"/>
      <c r="H278" s="21"/>
      <c r="I278" s="21"/>
      <c r="J278" s="19"/>
      <c r="K278" s="19"/>
      <c r="L278" s="19"/>
      <c r="M278" s="19"/>
    </row>
    <row r="279" ht="14.1" customHeight="1" spans="1:13">
      <c r="A279" s="19"/>
      <c r="B279" s="19"/>
      <c r="C279" s="20" t="s">
        <v>294</v>
      </c>
      <c r="D279" s="19"/>
      <c r="E279" s="19"/>
      <c r="F279" s="19"/>
      <c r="G279" s="19"/>
      <c r="H279" s="21"/>
      <c r="I279" s="21"/>
      <c r="J279" s="19"/>
      <c r="K279" s="19"/>
      <c r="L279" s="19"/>
      <c r="M279" s="19"/>
    </row>
    <row r="280" ht="14.1" customHeight="1" spans="1:13">
      <c r="A280" s="22">
        <v>209</v>
      </c>
      <c r="B280" s="19"/>
      <c r="C280" s="19" t="s">
        <v>295</v>
      </c>
      <c r="D280" s="19" t="s">
        <v>39</v>
      </c>
      <c r="E280" s="19"/>
      <c r="F280" s="24">
        <v>2200</v>
      </c>
      <c r="G280" s="24">
        <v>2350</v>
      </c>
      <c r="H280" s="23">
        <v>2550</v>
      </c>
      <c r="I280" s="21"/>
      <c r="J280" s="19"/>
      <c r="K280" s="19"/>
      <c r="L280" s="19"/>
      <c r="M280" s="19"/>
    </row>
    <row r="281" ht="14.1" customHeight="1" spans="1:13">
      <c r="A281" s="19"/>
      <c r="B281" s="19"/>
      <c r="C281" s="19"/>
      <c r="D281" s="19"/>
      <c r="E281" s="19"/>
      <c r="F281" s="19"/>
      <c r="G281" s="19"/>
      <c r="H281" s="21"/>
      <c r="I281" s="21"/>
      <c r="J281" s="19"/>
      <c r="K281" s="19"/>
      <c r="L281" s="19"/>
      <c r="M281" s="19"/>
    </row>
    <row r="282" ht="14.1" customHeight="1" spans="1:13">
      <c r="A282" s="19"/>
      <c r="B282" s="19"/>
      <c r="C282" s="20" t="s">
        <v>296</v>
      </c>
      <c r="D282" s="19"/>
      <c r="E282" s="19"/>
      <c r="F282" s="19"/>
      <c r="G282" s="19"/>
      <c r="H282" s="21"/>
      <c r="I282" s="21"/>
      <c r="J282" s="19"/>
      <c r="K282" s="19"/>
      <c r="L282" s="19"/>
      <c r="M282" s="19"/>
    </row>
    <row r="283" ht="14.1" customHeight="1" spans="1:13">
      <c r="A283" s="22">
        <v>210</v>
      </c>
      <c r="B283" s="19"/>
      <c r="C283" s="19" t="s">
        <v>297</v>
      </c>
      <c r="D283" s="19" t="s">
        <v>39</v>
      </c>
      <c r="E283" s="24">
        <v>1625</v>
      </c>
      <c r="F283" s="24">
        <v>1800</v>
      </c>
      <c r="G283" s="24">
        <v>2100</v>
      </c>
      <c r="H283" s="21"/>
      <c r="I283" s="21"/>
      <c r="J283" s="19"/>
      <c r="K283" s="19"/>
      <c r="L283" s="19"/>
      <c r="M283" s="19"/>
    </row>
    <row r="284" ht="14.1" customHeight="1" spans="1:13">
      <c r="A284" s="19"/>
      <c r="B284" s="19"/>
      <c r="C284" s="19"/>
      <c r="D284" s="19"/>
      <c r="E284" s="19"/>
      <c r="F284" s="19"/>
      <c r="G284" s="19"/>
      <c r="H284" s="21"/>
      <c r="I284" s="21"/>
      <c r="J284" s="19"/>
      <c r="K284" s="19"/>
      <c r="L284" s="19"/>
      <c r="M284" s="19"/>
    </row>
    <row r="285" ht="14.1" customHeight="1" spans="1:13">
      <c r="A285" s="22">
        <v>211</v>
      </c>
      <c r="B285" s="19"/>
      <c r="C285" s="19" t="s">
        <v>212</v>
      </c>
      <c r="D285" s="19" t="s">
        <v>39</v>
      </c>
      <c r="E285" s="24">
        <v>1500</v>
      </c>
      <c r="F285" s="24">
        <v>1650</v>
      </c>
      <c r="G285" s="24">
        <v>2250</v>
      </c>
      <c r="H285" s="23">
        <v>2400</v>
      </c>
      <c r="I285" s="21"/>
      <c r="J285" s="19"/>
      <c r="K285" s="19"/>
      <c r="L285" s="19"/>
      <c r="M285" s="19"/>
    </row>
    <row r="286" ht="14.1" customHeight="1" spans="1:13">
      <c r="A286" s="19"/>
      <c r="B286" s="19"/>
      <c r="C286" s="19"/>
      <c r="D286" s="19"/>
      <c r="E286" s="19"/>
      <c r="F286" s="19"/>
      <c r="G286" s="19"/>
      <c r="H286" s="21"/>
      <c r="I286" s="21"/>
      <c r="J286" s="19"/>
      <c r="K286" s="19"/>
      <c r="L286" s="19"/>
      <c r="M286" s="19"/>
    </row>
    <row r="287" ht="14.1" customHeight="1" spans="1:13">
      <c r="A287" s="19"/>
      <c r="B287" s="19"/>
      <c r="C287" s="20" t="s">
        <v>298</v>
      </c>
      <c r="D287" s="19"/>
      <c r="E287" s="19"/>
      <c r="F287" s="19"/>
      <c r="G287" s="19"/>
      <c r="H287" s="21"/>
      <c r="I287" s="21"/>
      <c r="J287" s="19"/>
      <c r="K287" s="19"/>
      <c r="L287" s="19"/>
      <c r="M287" s="19"/>
    </row>
    <row r="288" ht="14.1" customHeight="1" spans="1:13">
      <c r="A288" s="22">
        <v>212</v>
      </c>
      <c r="B288" s="19"/>
      <c r="C288" s="19" t="s">
        <v>299</v>
      </c>
      <c r="D288" s="19" t="s">
        <v>39</v>
      </c>
      <c r="E288" s="24">
        <v>2725</v>
      </c>
      <c r="F288" s="24">
        <v>3042</v>
      </c>
      <c r="G288" s="24">
        <v>3825</v>
      </c>
      <c r="H288" s="23">
        <v>4175</v>
      </c>
      <c r="I288" s="23">
        <v>4908</v>
      </c>
      <c r="J288" s="24">
        <v>5692</v>
      </c>
      <c r="K288" s="24">
        <v>6713</v>
      </c>
      <c r="L288" s="24">
        <v>7525</v>
      </c>
      <c r="M288" s="19"/>
    </row>
    <row r="289" ht="14.1" customHeight="1" spans="1:13">
      <c r="A289" s="19"/>
      <c r="B289" s="19"/>
      <c r="C289" s="19"/>
      <c r="D289" s="19"/>
      <c r="E289" s="19"/>
      <c r="F289" s="19"/>
      <c r="G289" s="19"/>
      <c r="H289" s="21"/>
      <c r="I289" s="21"/>
      <c r="J289" s="19"/>
      <c r="K289" s="19"/>
      <c r="L289" s="19"/>
      <c r="M289" s="19"/>
    </row>
    <row r="290" ht="14.1" customHeight="1" spans="1:13">
      <c r="A290" s="22">
        <v>213</v>
      </c>
      <c r="B290" s="19"/>
      <c r="C290" s="19" t="s">
        <v>300</v>
      </c>
      <c r="D290" s="19" t="s">
        <v>39</v>
      </c>
      <c r="E290" s="24">
        <v>3450</v>
      </c>
      <c r="F290" s="24">
        <v>3925</v>
      </c>
      <c r="G290" s="24">
        <v>4162</v>
      </c>
      <c r="H290" s="23">
        <v>4438</v>
      </c>
      <c r="I290" s="23">
        <v>5225</v>
      </c>
      <c r="J290" s="19"/>
      <c r="K290" s="19"/>
      <c r="L290" s="19"/>
      <c r="M290" s="19"/>
    </row>
    <row r="291" ht="14.1" customHeight="1" spans="1:13">
      <c r="A291" s="19"/>
      <c r="B291" s="19"/>
      <c r="C291" s="19"/>
      <c r="D291" s="19"/>
      <c r="E291" s="19"/>
      <c r="F291" s="19"/>
      <c r="G291" s="19"/>
      <c r="H291" s="21"/>
      <c r="I291" s="21"/>
      <c r="J291" s="19"/>
      <c r="K291" s="19"/>
      <c r="L291" s="19"/>
      <c r="M291" s="19"/>
    </row>
    <row r="292" ht="14.1" customHeight="1" spans="1:13">
      <c r="A292" s="22">
        <v>214</v>
      </c>
      <c r="B292" s="19"/>
      <c r="C292" s="19" t="s">
        <v>301</v>
      </c>
      <c r="D292" s="19" t="s">
        <v>39</v>
      </c>
      <c r="E292" s="24">
        <v>1888</v>
      </c>
      <c r="F292" s="24">
        <v>2188</v>
      </c>
      <c r="G292" s="24">
        <v>2488</v>
      </c>
      <c r="H292" s="23">
        <v>2688</v>
      </c>
      <c r="I292" s="23">
        <v>3038</v>
      </c>
      <c r="J292" s="24">
        <v>3450</v>
      </c>
      <c r="K292" s="24">
        <v>4025</v>
      </c>
      <c r="L292" s="24">
        <v>4875</v>
      </c>
      <c r="M292" s="19"/>
    </row>
    <row r="293" ht="14.1" customHeight="1" spans="1:13">
      <c r="A293" s="19"/>
      <c r="B293" s="19"/>
      <c r="C293" s="19"/>
      <c r="D293" s="19"/>
      <c r="E293" s="19"/>
      <c r="F293" s="19"/>
      <c r="G293" s="19"/>
      <c r="H293" s="21"/>
      <c r="I293" s="21"/>
      <c r="J293" s="19"/>
      <c r="K293" s="19"/>
      <c r="L293" s="19"/>
      <c r="M293" s="19"/>
    </row>
    <row r="294" ht="14.1" customHeight="1" spans="1:13">
      <c r="A294" s="22">
        <v>215</v>
      </c>
      <c r="B294" s="19"/>
      <c r="C294" s="19" t="s">
        <v>302</v>
      </c>
      <c r="D294" s="19" t="s">
        <v>39</v>
      </c>
      <c r="E294" s="24">
        <v>2675</v>
      </c>
      <c r="F294" s="24">
        <v>3005</v>
      </c>
      <c r="G294" s="24">
        <v>3315</v>
      </c>
      <c r="H294" s="23">
        <v>3600</v>
      </c>
      <c r="I294" s="23">
        <v>4270</v>
      </c>
      <c r="J294" s="24">
        <v>5035</v>
      </c>
      <c r="K294" s="24">
        <v>6492</v>
      </c>
      <c r="L294" s="24">
        <v>7617</v>
      </c>
      <c r="M294" s="19"/>
    </row>
    <row r="295" ht="14.1" customHeight="1" spans="1:13">
      <c r="A295" s="19"/>
      <c r="B295" s="19"/>
      <c r="C295" s="19"/>
      <c r="D295" s="19"/>
      <c r="E295" s="19"/>
      <c r="F295" s="19"/>
      <c r="G295" s="19"/>
      <c r="H295" s="21"/>
      <c r="I295" s="21"/>
      <c r="J295" s="19"/>
      <c r="K295" s="19"/>
      <c r="L295" s="19"/>
      <c r="M295" s="19"/>
    </row>
    <row r="296" ht="14.1" customHeight="1" spans="1:13">
      <c r="A296" s="22">
        <v>216</v>
      </c>
      <c r="B296" s="19"/>
      <c r="C296" s="19" t="s">
        <v>303</v>
      </c>
      <c r="D296" s="19" t="s">
        <v>39</v>
      </c>
      <c r="E296" s="24">
        <v>1958</v>
      </c>
      <c r="F296" s="24">
        <v>2358</v>
      </c>
      <c r="G296" s="24">
        <v>2642</v>
      </c>
      <c r="H296" s="23">
        <v>2700</v>
      </c>
      <c r="I296" s="23">
        <v>3013</v>
      </c>
      <c r="J296" s="24">
        <v>3175</v>
      </c>
      <c r="K296" s="24">
        <v>3650</v>
      </c>
      <c r="L296" s="24">
        <v>4200</v>
      </c>
      <c r="M296" s="19"/>
    </row>
    <row r="297" ht="14.1" customHeight="1" spans="1:13">
      <c r="A297" s="19"/>
      <c r="B297" s="19"/>
      <c r="C297" s="19"/>
      <c r="D297" s="19"/>
      <c r="E297" s="19"/>
      <c r="F297" s="19"/>
      <c r="G297" s="19"/>
      <c r="H297" s="21"/>
      <c r="I297" s="21"/>
      <c r="J297" s="19"/>
      <c r="K297" s="19"/>
      <c r="L297" s="19"/>
      <c r="M297" s="19"/>
    </row>
    <row r="298" ht="14.1" customHeight="1" spans="1:13">
      <c r="A298" s="22">
        <v>217</v>
      </c>
      <c r="B298" s="19"/>
      <c r="C298" s="19" t="s">
        <v>304</v>
      </c>
      <c r="D298" s="19" t="s">
        <v>39</v>
      </c>
      <c r="E298" s="19"/>
      <c r="F298" s="19"/>
      <c r="G298" s="19"/>
      <c r="H298" s="21"/>
      <c r="I298" s="21"/>
      <c r="J298" s="24">
        <v>5533</v>
      </c>
      <c r="K298" s="24">
        <v>6608</v>
      </c>
      <c r="L298" s="24">
        <v>7658</v>
      </c>
      <c r="M298" s="19"/>
    </row>
    <row r="299" ht="14.1" customHeight="1" spans="1:13">
      <c r="A299" s="19"/>
      <c r="B299" s="19"/>
      <c r="C299" s="19"/>
      <c r="D299" s="19"/>
      <c r="E299" s="19"/>
      <c r="F299" s="19"/>
      <c r="G299" s="19"/>
      <c r="H299" s="21"/>
      <c r="I299" s="21"/>
      <c r="J299" s="19"/>
      <c r="K299" s="19"/>
      <c r="L299" s="19"/>
      <c r="M299" s="19"/>
    </row>
    <row r="300" ht="14.1" customHeight="1" spans="1:13">
      <c r="A300" s="19"/>
      <c r="B300" s="19"/>
      <c r="C300" s="20" t="s">
        <v>305</v>
      </c>
      <c r="D300" s="19"/>
      <c r="E300" s="19"/>
      <c r="F300" s="19"/>
      <c r="G300" s="19"/>
      <c r="H300" s="21"/>
      <c r="I300" s="21"/>
      <c r="J300" s="19"/>
      <c r="K300" s="19"/>
      <c r="L300" s="19"/>
      <c r="M300" s="19"/>
    </row>
    <row r="301" ht="14.1" customHeight="1" spans="1:13">
      <c r="A301" s="22">
        <v>218</v>
      </c>
      <c r="B301" s="19"/>
      <c r="C301" s="19" t="s">
        <v>306</v>
      </c>
      <c r="D301" s="19" t="s">
        <v>39</v>
      </c>
      <c r="E301" s="24">
        <v>20265</v>
      </c>
      <c r="F301" s="24">
        <v>20376</v>
      </c>
      <c r="G301" s="24">
        <v>20488</v>
      </c>
      <c r="H301" s="23">
        <v>23560</v>
      </c>
      <c r="I301" s="23">
        <v>25954</v>
      </c>
      <c r="J301" s="24">
        <v>27979</v>
      </c>
      <c r="K301" s="24">
        <v>35611</v>
      </c>
      <c r="L301" s="19"/>
      <c r="M301" s="19"/>
    </row>
    <row r="302" ht="14.1" customHeight="1" spans="1:13">
      <c r="A302" s="19"/>
      <c r="B302" s="19"/>
      <c r="C302" s="19"/>
      <c r="D302" s="19"/>
      <c r="E302" s="19"/>
      <c r="F302" s="19"/>
      <c r="G302" s="19"/>
      <c r="H302" s="21"/>
      <c r="I302" s="21"/>
      <c r="J302" s="19"/>
      <c r="K302" s="19"/>
      <c r="L302" s="19"/>
      <c r="M302" s="19"/>
    </row>
    <row r="303" ht="14.1" customHeight="1" spans="1:13">
      <c r="A303" s="22">
        <v>219</v>
      </c>
      <c r="B303" s="19"/>
      <c r="C303" s="19" t="s">
        <v>307</v>
      </c>
      <c r="D303" s="19" t="s">
        <v>39</v>
      </c>
      <c r="E303" s="19"/>
      <c r="F303" s="19"/>
      <c r="G303" s="19"/>
      <c r="H303" s="21"/>
      <c r="I303" s="21"/>
      <c r="J303" s="19"/>
      <c r="K303" s="19"/>
      <c r="L303" s="19"/>
      <c r="M303" s="24">
        <v>28325</v>
      </c>
    </row>
    <row r="304" ht="14.1" customHeight="1" spans="1:13">
      <c r="A304" s="19"/>
      <c r="B304" s="19"/>
      <c r="C304" s="19"/>
      <c r="D304" s="19"/>
      <c r="E304" s="19"/>
      <c r="F304" s="19"/>
      <c r="G304" s="19"/>
      <c r="H304" s="21"/>
      <c r="I304" s="21"/>
      <c r="J304" s="19"/>
      <c r="K304" s="19"/>
      <c r="L304" s="19"/>
      <c r="M304" s="19"/>
    </row>
    <row r="305" ht="14.1" customHeight="1" spans="1:13">
      <c r="A305" s="22">
        <v>220</v>
      </c>
      <c r="B305" s="19"/>
      <c r="C305" s="19" t="s">
        <v>308</v>
      </c>
      <c r="D305" s="19" t="s">
        <v>39</v>
      </c>
      <c r="E305" s="19"/>
      <c r="F305" s="19"/>
      <c r="G305" s="19"/>
      <c r="H305" s="21"/>
      <c r="I305" s="21"/>
      <c r="J305" s="19"/>
      <c r="K305" s="19"/>
      <c r="L305" s="19"/>
      <c r="M305" s="24">
        <v>28950</v>
      </c>
    </row>
    <row r="306" ht="14.1" customHeight="1" spans="1:13">
      <c r="A306" s="19"/>
      <c r="B306" s="19"/>
      <c r="C306" s="19"/>
      <c r="D306" s="19"/>
      <c r="E306" s="19"/>
      <c r="F306" s="19"/>
      <c r="G306" s="19"/>
      <c r="H306" s="21"/>
      <c r="I306" s="21"/>
      <c r="J306" s="19"/>
      <c r="K306" s="19"/>
      <c r="L306" s="19"/>
      <c r="M306" s="19"/>
    </row>
    <row r="307" ht="14.1" customHeight="1" spans="1:13">
      <c r="A307" s="19"/>
      <c r="B307" s="19"/>
      <c r="C307" s="20" t="s">
        <v>309</v>
      </c>
      <c r="D307" s="19"/>
      <c r="E307" s="19"/>
      <c r="F307" s="19"/>
      <c r="G307" s="19"/>
      <c r="H307" s="21"/>
      <c r="I307" s="21"/>
      <c r="J307" s="19"/>
      <c r="K307" s="19"/>
      <c r="L307" s="19"/>
      <c r="M307" s="19"/>
    </row>
    <row r="308" ht="14.1" customHeight="1" spans="1:13">
      <c r="A308" s="22">
        <v>221</v>
      </c>
      <c r="B308" s="19"/>
      <c r="C308" s="19" t="s">
        <v>310</v>
      </c>
      <c r="D308" s="19" t="s">
        <v>39</v>
      </c>
      <c r="E308" s="19"/>
      <c r="F308" s="19"/>
      <c r="G308" s="19"/>
      <c r="H308" s="21"/>
      <c r="I308" s="21"/>
      <c r="J308" s="19"/>
      <c r="K308" s="19"/>
      <c r="L308" s="24">
        <v>8900</v>
      </c>
      <c r="M308" s="19"/>
    </row>
    <row r="309" ht="14.1" customHeight="1" spans="1:13">
      <c r="A309" s="19"/>
      <c r="B309" s="19"/>
      <c r="C309" s="19"/>
      <c r="D309" s="19"/>
      <c r="E309" s="19"/>
      <c r="F309" s="19"/>
      <c r="G309" s="19"/>
      <c r="H309" s="21"/>
      <c r="I309" s="21"/>
      <c r="J309" s="19"/>
      <c r="K309" s="19"/>
      <c r="L309" s="19"/>
      <c r="M309" s="19"/>
    </row>
    <row r="310" ht="14.1" customHeight="1" spans="1:13">
      <c r="A310" s="22">
        <v>222</v>
      </c>
      <c r="B310" s="19"/>
      <c r="C310" s="19" t="s">
        <v>311</v>
      </c>
      <c r="D310" s="19" t="s">
        <v>39</v>
      </c>
      <c r="E310" s="19"/>
      <c r="F310" s="24">
        <v>3171</v>
      </c>
      <c r="G310" s="24">
        <v>4181</v>
      </c>
      <c r="H310" s="23">
        <v>4557</v>
      </c>
      <c r="I310" s="23">
        <v>6295</v>
      </c>
      <c r="J310" s="24">
        <v>6475</v>
      </c>
      <c r="K310" s="24">
        <v>7920</v>
      </c>
      <c r="L310" s="24">
        <v>10438</v>
      </c>
      <c r="M310" s="24">
        <v>12004</v>
      </c>
    </row>
    <row r="311" ht="14.1" customHeight="1" spans="1:13">
      <c r="A311" s="19"/>
      <c r="B311" s="19"/>
      <c r="C311" s="19"/>
      <c r="D311" s="19"/>
      <c r="E311" s="19"/>
      <c r="F311" s="19"/>
      <c r="G311" s="19"/>
      <c r="H311" s="21"/>
      <c r="I311" s="21"/>
      <c r="J311" s="19"/>
      <c r="K311" s="19"/>
      <c r="L311" s="19"/>
      <c r="M311" s="19"/>
    </row>
    <row r="312" ht="14.1" customHeight="1" spans="1:13">
      <c r="A312" s="22">
        <v>223</v>
      </c>
      <c r="B312" s="19"/>
      <c r="C312" s="19" t="s">
        <v>312</v>
      </c>
      <c r="D312" s="19" t="s">
        <v>39</v>
      </c>
      <c r="E312" s="19"/>
      <c r="F312" s="24">
        <v>3125</v>
      </c>
      <c r="G312" s="24">
        <v>3829</v>
      </c>
      <c r="H312" s="23">
        <v>4363</v>
      </c>
      <c r="I312" s="23">
        <v>5481</v>
      </c>
      <c r="J312" s="24">
        <v>5925</v>
      </c>
      <c r="K312" s="24">
        <v>7990</v>
      </c>
      <c r="L312" s="24">
        <v>9215</v>
      </c>
      <c r="M312" s="24">
        <v>10597</v>
      </c>
    </row>
    <row r="313" ht="14.1" customHeight="1" spans="1:13">
      <c r="A313" s="19"/>
      <c r="B313" s="19"/>
      <c r="C313" s="19"/>
      <c r="D313" s="19"/>
      <c r="E313" s="19"/>
      <c r="F313" s="19"/>
      <c r="G313" s="19"/>
      <c r="H313" s="21"/>
      <c r="I313" s="21"/>
      <c r="J313" s="19"/>
      <c r="K313" s="19"/>
      <c r="L313" s="19"/>
      <c r="M313" s="19"/>
    </row>
    <row r="314" ht="14.1" customHeight="1" spans="1:13">
      <c r="A314" s="19"/>
      <c r="B314" s="19"/>
      <c r="C314" s="20" t="s">
        <v>313</v>
      </c>
      <c r="D314" s="19"/>
      <c r="E314" s="19"/>
      <c r="F314" s="19"/>
      <c r="G314" s="19"/>
      <c r="H314" s="21"/>
      <c r="I314" s="21"/>
      <c r="J314" s="19"/>
      <c r="K314" s="19"/>
      <c r="L314" s="19"/>
      <c r="M314" s="19"/>
    </row>
    <row r="315" ht="14.1" customHeight="1" spans="1:13">
      <c r="A315" s="22">
        <v>224</v>
      </c>
      <c r="B315" s="19"/>
      <c r="C315" s="19" t="s">
        <v>314</v>
      </c>
      <c r="D315" s="19" t="s">
        <v>39</v>
      </c>
      <c r="E315" s="19"/>
      <c r="F315" s="19"/>
      <c r="G315" s="19"/>
      <c r="H315" s="21"/>
      <c r="I315" s="21"/>
      <c r="J315" s="24">
        <v>3985</v>
      </c>
      <c r="K315" s="24">
        <v>4850</v>
      </c>
      <c r="L315" s="24">
        <v>6046</v>
      </c>
      <c r="M315" s="19"/>
    </row>
    <row r="316" ht="14.1" customHeight="1" spans="1:13">
      <c r="A316" s="19"/>
      <c r="B316" s="19"/>
      <c r="C316" s="19"/>
      <c r="D316" s="19"/>
      <c r="E316" s="19"/>
      <c r="F316" s="19"/>
      <c r="G316" s="19"/>
      <c r="H316" s="21"/>
      <c r="I316" s="21"/>
      <c r="J316" s="19"/>
      <c r="K316" s="19"/>
      <c r="L316" s="19"/>
      <c r="M316" s="19"/>
    </row>
    <row r="317" ht="14.1" customHeight="1" spans="1:13">
      <c r="A317" s="22">
        <v>225</v>
      </c>
      <c r="B317" s="19"/>
      <c r="C317" s="19" t="s">
        <v>315</v>
      </c>
      <c r="D317" s="19" t="s">
        <v>39</v>
      </c>
      <c r="E317" s="19"/>
      <c r="F317" s="19"/>
      <c r="G317" s="24">
        <v>2575</v>
      </c>
      <c r="H317" s="23">
        <v>2792</v>
      </c>
      <c r="I317" s="23">
        <v>3133</v>
      </c>
      <c r="J317" s="24">
        <v>3913</v>
      </c>
      <c r="K317" s="24">
        <v>4813</v>
      </c>
      <c r="L317" s="19"/>
      <c r="M317" s="19"/>
    </row>
    <row r="318" ht="14.1" customHeight="1" spans="1:13">
      <c r="A318" s="19"/>
      <c r="B318" s="19"/>
      <c r="C318" s="19"/>
      <c r="D318" s="19"/>
      <c r="E318" s="19"/>
      <c r="F318" s="19"/>
      <c r="G318" s="19"/>
      <c r="H318" s="21"/>
      <c r="I318" s="21"/>
      <c r="J318" s="19"/>
      <c r="K318" s="19"/>
      <c r="L318" s="19"/>
      <c r="M318" s="19"/>
    </row>
    <row r="319" ht="14.1" customHeight="1" spans="1:13">
      <c r="A319" s="22">
        <v>226</v>
      </c>
      <c r="B319" s="19"/>
      <c r="C319" s="19" t="s">
        <v>316</v>
      </c>
      <c r="D319" s="19" t="s">
        <v>39</v>
      </c>
      <c r="E319" s="19"/>
      <c r="F319" s="19"/>
      <c r="G319" s="24">
        <v>2975</v>
      </c>
      <c r="H319" s="23">
        <v>3350</v>
      </c>
      <c r="I319" s="23">
        <v>3875</v>
      </c>
      <c r="J319" s="24">
        <v>4663</v>
      </c>
      <c r="K319" s="24">
        <v>5900</v>
      </c>
      <c r="L319" s="24">
        <v>6000</v>
      </c>
      <c r="M319" s="19"/>
    </row>
    <row r="320" ht="14.1" customHeight="1" spans="1:13">
      <c r="A320" s="19"/>
      <c r="B320" s="19"/>
      <c r="C320" s="19"/>
      <c r="D320" s="19"/>
      <c r="E320" s="19"/>
      <c r="F320" s="19"/>
      <c r="G320" s="19"/>
      <c r="H320" s="21"/>
      <c r="I320" s="21"/>
      <c r="J320" s="19"/>
      <c r="K320" s="19"/>
      <c r="L320" s="19"/>
      <c r="M320" s="19"/>
    </row>
    <row r="321" ht="14.1" customHeight="1" spans="1:13">
      <c r="A321" s="22">
        <v>227</v>
      </c>
      <c r="B321" s="19"/>
      <c r="C321" s="19" t="s">
        <v>317</v>
      </c>
      <c r="D321" s="19" t="s">
        <v>39</v>
      </c>
      <c r="E321" s="24">
        <v>1771</v>
      </c>
      <c r="F321" s="24">
        <v>2003</v>
      </c>
      <c r="G321" s="24">
        <v>2321</v>
      </c>
      <c r="H321" s="23">
        <v>2533</v>
      </c>
      <c r="I321" s="23">
        <v>2815</v>
      </c>
      <c r="J321" s="19"/>
      <c r="K321" s="19"/>
      <c r="L321" s="19"/>
      <c r="M321" s="19"/>
    </row>
    <row r="322" ht="14.1" customHeight="1" spans="1:13">
      <c r="A322" s="19"/>
      <c r="B322" s="19"/>
      <c r="C322" s="19"/>
      <c r="D322" s="19"/>
      <c r="E322" s="19"/>
      <c r="F322" s="19"/>
      <c r="G322" s="19"/>
      <c r="H322" s="21"/>
      <c r="I322" s="21"/>
      <c r="J322" s="19"/>
      <c r="K322" s="19"/>
      <c r="L322" s="19"/>
      <c r="M322" s="19"/>
    </row>
    <row r="323" ht="14.1" customHeight="1" spans="1:13">
      <c r="A323" s="19"/>
      <c r="B323" s="19"/>
      <c r="C323" s="20" t="s">
        <v>55</v>
      </c>
      <c r="D323" s="19"/>
      <c r="E323" s="19"/>
      <c r="F323" s="19"/>
      <c r="G323" s="19"/>
      <c r="H323" s="21"/>
      <c r="I323" s="21"/>
      <c r="J323" s="19"/>
      <c r="K323" s="19"/>
      <c r="L323" s="19"/>
      <c r="M323" s="19"/>
    </row>
    <row r="324" ht="14.1" customHeight="1" spans="1:13">
      <c r="A324" s="22">
        <v>228</v>
      </c>
      <c r="B324" s="19"/>
      <c r="C324" s="19" t="s">
        <v>318</v>
      </c>
      <c r="D324" s="19" t="s">
        <v>39</v>
      </c>
      <c r="E324" s="19"/>
      <c r="F324" s="19"/>
      <c r="G324" s="19"/>
      <c r="H324" s="21"/>
      <c r="I324" s="21"/>
      <c r="J324" s="19"/>
      <c r="K324" s="19"/>
      <c r="L324" s="24">
        <v>8425</v>
      </c>
      <c r="M324" s="24">
        <v>9689</v>
      </c>
    </row>
    <row r="325" ht="14.1" customHeight="1" spans="1:13">
      <c r="A325" s="19"/>
      <c r="B325" s="19"/>
      <c r="C325" s="19"/>
      <c r="D325" s="19"/>
      <c r="E325" s="19"/>
      <c r="F325" s="19"/>
      <c r="G325" s="19"/>
      <c r="H325" s="21"/>
      <c r="I325" s="21"/>
      <c r="J325" s="19"/>
      <c r="K325" s="19"/>
      <c r="L325" s="19"/>
      <c r="M325" s="19"/>
    </row>
    <row r="326" ht="14.1" customHeight="1" spans="1:13">
      <c r="A326" s="22">
        <v>229</v>
      </c>
      <c r="B326" s="19"/>
      <c r="C326" s="19" t="s">
        <v>319</v>
      </c>
      <c r="D326" s="19" t="s">
        <v>39</v>
      </c>
      <c r="E326" s="19"/>
      <c r="F326" s="19"/>
      <c r="G326" s="19"/>
      <c r="H326" s="21"/>
      <c r="I326" s="21"/>
      <c r="J326" s="19"/>
      <c r="K326" s="19"/>
      <c r="L326" s="19"/>
      <c r="M326" s="24">
        <v>9075</v>
      </c>
    </row>
    <row r="327" ht="14.1" customHeight="1" spans="1:13">
      <c r="A327" s="19"/>
      <c r="B327" s="19"/>
      <c r="C327" s="19"/>
      <c r="D327" s="19"/>
      <c r="E327" s="19"/>
      <c r="F327" s="19"/>
      <c r="G327" s="19"/>
      <c r="H327" s="21"/>
      <c r="I327" s="21"/>
      <c r="J327" s="19"/>
      <c r="K327" s="19"/>
      <c r="L327" s="19"/>
      <c r="M327" s="19"/>
    </row>
    <row r="328" ht="14.1" customHeight="1" spans="1:13">
      <c r="A328" s="19"/>
      <c r="B328" s="19"/>
      <c r="C328" s="20" t="s">
        <v>320</v>
      </c>
      <c r="D328" s="19"/>
      <c r="E328" s="19"/>
      <c r="F328" s="19"/>
      <c r="G328" s="19"/>
      <c r="H328" s="21"/>
      <c r="I328" s="21"/>
      <c r="J328" s="19"/>
      <c r="K328" s="19"/>
      <c r="L328" s="19"/>
      <c r="M328" s="19"/>
    </row>
    <row r="329" ht="14.1" customHeight="1" spans="1:13">
      <c r="A329" s="22">
        <v>230</v>
      </c>
      <c r="B329" s="19"/>
      <c r="C329" s="19" t="s">
        <v>321</v>
      </c>
      <c r="D329" s="19" t="s">
        <v>39</v>
      </c>
      <c r="E329" s="19"/>
      <c r="F329" s="19"/>
      <c r="G329" s="19"/>
      <c r="H329" s="21"/>
      <c r="I329" s="21"/>
      <c r="J329" s="24">
        <v>8500</v>
      </c>
      <c r="K329" s="24">
        <v>10100</v>
      </c>
      <c r="L329" s="24">
        <v>12213</v>
      </c>
      <c r="M329" s="19"/>
    </row>
    <row r="330" ht="14.1" customHeight="1" spans="1:13">
      <c r="A330" s="19"/>
      <c r="B330" s="19"/>
      <c r="C330" s="19"/>
      <c r="D330" s="19"/>
      <c r="E330" s="19"/>
      <c r="F330" s="19"/>
      <c r="G330" s="19"/>
      <c r="H330" s="21"/>
      <c r="I330" s="21"/>
      <c r="J330" s="19"/>
      <c r="K330" s="19"/>
      <c r="L330" s="19"/>
      <c r="M330" s="19"/>
    </row>
    <row r="331" ht="14.1" customHeight="1" spans="1:13">
      <c r="A331" s="22">
        <v>231</v>
      </c>
      <c r="B331" s="19"/>
      <c r="C331" s="19" t="s">
        <v>322</v>
      </c>
      <c r="D331" s="19" t="s">
        <v>39</v>
      </c>
      <c r="E331" s="24">
        <v>2800</v>
      </c>
      <c r="F331" s="24">
        <v>3250</v>
      </c>
      <c r="G331" s="24">
        <v>4125</v>
      </c>
      <c r="H331" s="23">
        <v>4550</v>
      </c>
      <c r="I331" s="23">
        <v>5538</v>
      </c>
      <c r="J331" s="24">
        <v>6913</v>
      </c>
      <c r="K331" s="24">
        <v>8383</v>
      </c>
      <c r="L331" s="24">
        <v>10625</v>
      </c>
      <c r="M331" s="19"/>
    </row>
    <row r="332" ht="14.1" customHeight="1" spans="1:13">
      <c r="A332" s="19"/>
      <c r="B332" s="19"/>
      <c r="C332" s="19"/>
      <c r="D332" s="19"/>
      <c r="E332" s="19"/>
      <c r="F332" s="19"/>
      <c r="G332" s="19"/>
      <c r="H332" s="21"/>
      <c r="I332" s="21"/>
      <c r="J332" s="19"/>
      <c r="K332" s="19"/>
      <c r="L332" s="19"/>
      <c r="M332" s="19"/>
    </row>
    <row r="333" ht="14.1" customHeight="1" spans="1:13">
      <c r="A333" s="22">
        <v>232</v>
      </c>
      <c r="B333" s="19"/>
      <c r="C333" s="19" t="s">
        <v>323</v>
      </c>
      <c r="D333" s="19" t="s">
        <v>39</v>
      </c>
      <c r="E333" s="24">
        <v>2355</v>
      </c>
      <c r="F333" s="24">
        <v>2720</v>
      </c>
      <c r="G333" s="24">
        <v>3583</v>
      </c>
      <c r="H333" s="23">
        <v>4308</v>
      </c>
      <c r="I333" s="23">
        <v>5670</v>
      </c>
      <c r="J333" s="24">
        <v>6270</v>
      </c>
      <c r="K333" s="24">
        <v>8504</v>
      </c>
      <c r="L333" s="24">
        <v>9893</v>
      </c>
      <c r="M333" s="24">
        <v>11377</v>
      </c>
    </row>
    <row r="334" ht="14.1" customHeight="1" spans="1:13">
      <c r="A334" s="19"/>
      <c r="B334" s="19"/>
      <c r="C334" s="19"/>
      <c r="D334" s="19"/>
      <c r="E334" s="19"/>
      <c r="F334" s="19"/>
      <c r="G334" s="19"/>
      <c r="H334" s="21"/>
      <c r="I334" s="21"/>
      <c r="J334" s="19"/>
      <c r="K334" s="19"/>
      <c r="L334" s="19"/>
      <c r="M334" s="19"/>
    </row>
    <row r="335" ht="14.1" customHeight="1" spans="1:13">
      <c r="A335" s="22">
        <v>233</v>
      </c>
      <c r="B335" s="19"/>
      <c r="C335" s="19" t="s">
        <v>324</v>
      </c>
      <c r="D335" s="19" t="s">
        <v>39</v>
      </c>
      <c r="E335" s="24">
        <v>2650</v>
      </c>
      <c r="F335" s="24">
        <v>3205</v>
      </c>
      <c r="G335" s="24">
        <v>4389</v>
      </c>
      <c r="H335" s="23">
        <v>5286</v>
      </c>
      <c r="I335" s="23">
        <v>5663</v>
      </c>
      <c r="J335" s="24">
        <v>6814</v>
      </c>
      <c r="K335" s="24">
        <v>8217</v>
      </c>
      <c r="L335" s="24">
        <v>11171</v>
      </c>
      <c r="M335" s="24">
        <v>12847</v>
      </c>
    </row>
    <row r="336" ht="14.1" customHeight="1" spans="1:13">
      <c r="A336" s="19"/>
      <c r="B336" s="19"/>
      <c r="C336" s="19"/>
      <c r="D336" s="19"/>
      <c r="E336" s="19"/>
      <c r="F336" s="19"/>
      <c r="G336" s="19"/>
      <c r="H336" s="21"/>
      <c r="I336" s="21"/>
      <c r="J336" s="19"/>
      <c r="K336" s="19"/>
      <c r="L336" s="19"/>
      <c r="M336" s="19"/>
    </row>
    <row r="337" ht="14.1" customHeight="1" spans="1:13">
      <c r="A337" s="22">
        <v>234</v>
      </c>
      <c r="B337" s="19"/>
      <c r="C337" s="19" t="s">
        <v>325</v>
      </c>
      <c r="D337" s="19" t="s">
        <v>39</v>
      </c>
      <c r="E337" s="19"/>
      <c r="F337" s="19"/>
      <c r="G337" s="19"/>
      <c r="H337" s="21"/>
      <c r="I337" s="21"/>
      <c r="J337" s="19"/>
      <c r="K337" s="19"/>
      <c r="L337" s="19"/>
      <c r="M337" s="24">
        <v>15158</v>
      </c>
    </row>
    <row r="338" ht="14.1" customHeight="1" spans="1:13">
      <c r="A338" s="19"/>
      <c r="B338" s="19"/>
      <c r="C338" s="19"/>
      <c r="D338" s="19"/>
      <c r="E338" s="19"/>
      <c r="F338" s="19"/>
      <c r="G338" s="19"/>
      <c r="H338" s="21"/>
      <c r="I338" s="21"/>
      <c r="J338" s="19"/>
      <c r="K338" s="19"/>
      <c r="L338" s="19"/>
      <c r="M338" s="19"/>
    </row>
    <row r="339" ht="14.1" customHeight="1" spans="1:13">
      <c r="A339" s="19"/>
      <c r="B339" s="19"/>
      <c r="C339" s="20" t="s">
        <v>60</v>
      </c>
      <c r="D339" s="19"/>
      <c r="E339" s="19"/>
      <c r="F339" s="19"/>
      <c r="G339" s="19"/>
      <c r="H339" s="21"/>
      <c r="I339" s="21"/>
      <c r="J339" s="19"/>
      <c r="K339" s="19"/>
      <c r="L339" s="19"/>
      <c r="M339" s="19"/>
    </row>
    <row r="340" ht="14.1" customHeight="1" spans="1:13">
      <c r="A340" s="22">
        <v>235</v>
      </c>
      <c r="B340" s="19"/>
      <c r="C340" s="19" t="s">
        <v>326</v>
      </c>
      <c r="D340" s="19" t="s">
        <v>39</v>
      </c>
      <c r="E340" s="19"/>
      <c r="F340" s="19"/>
      <c r="G340" s="19"/>
      <c r="H340" s="21"/>
      <c r="I340" s="23">
        <v>2725</v>
      </c>
      <c r="J340" s="24">
        <v>3500</v>
      </c>
      <c r="K340" s="24">
        <v>4290</v>
      </c>
      <c r="L340" s="24">
        <v>5315</v>
      </c>
      <c r="M340" s="19"/>
    </row>
    <row r="341" ht="14.1" customHeight="1" spans="1:13">
      <c r="A341" s="19"/>
      <c r="B341" s="19"/>
      <c r="C341" s="19"/>
      <c r="D341" s="19"/>
      <c r="E341" s="19"/>
      <c r="F341" s="19"/>
      <c r="G341" s="19"/>
      <c r="H341" s="21"/>
      <c r="I341" s="21"/>
      <c r="J341" s="19"/>
      <c r="K341" s="19"/>
      <c r="L341" s="19"/>
      <c r="M341" s="19"/>
    </row>
    <row r="342" ht="14.1" customHeight="1" spans="1:13">
      <c r="A342" s="22">
        <v>236</v>
      </c>
      <c r="B342" s="19"/>
      <c r="C342" s="19" t="s">
        <v>327</v>
      </c>
      <c r="D342" s="19" t="s">
        <v>39</v>
      </c>
      <c r="E342" s="24">
        <v>1394</v>
      </c>
      <c r="F342" s="24">
        <v>1619</v>
      </c>
      <c r="G342" s="24">
        <v>2013</v>
      </c>
      <c r="H342" s="23">
        <v>2188</v>
      </c>
      <c r="I342" s="23">
        <v>2625</v>
      </c>
      <c r="J342" s="19"/>
      <c r="K342" s="19"/>
      <c r="L342" s="19"/>
      <c r="M342" s="19"/>
    </row>
    <row r="343" ht="14.1" customHeight="1" spans="1:13">
      <c r="A343" s="19"/>
      <c r="B343" s="19"/>
      <c r="C343" s="19"/>
      <c r="D343" s="19"/>
      <c r="E343" s="19"/>
      <c r="F343" s="19"/>
      <c r="G343" s="19"/>
      <c r="H343" s="21"/>
      <c r="I343" s="21"/>
      <c r="J343" s="19"/>
      <c r="K343" s="19"/>
      <c r="L343" s="19"/>
      <c r="M343" s="19"/>
    </row>
    <row r="344" ht="14.1" customHeight="1" spans="1:13">
      <c r="A344" s="22">
        <v>237</v>
      </c>
      <c r="B344" s="19"/>
      <c r="C344" s="19" t="s">
        <v>328</v>
      </c>
      <c r="D344" s="19" t="s">
        <v>39</v>
      </c>
      <c r="E344" s="19"/>
      <c r="F344" s="19"/>
      <c r="G344" s="19"/>
      <c r="H344" s="21"/>
      <c r="I344" s="21"/>
      <c r="J344" s="19"/>
      <c r="K344" s="24">
        <v>3992</v>
      </c>
      <c r="L344" s="24">
        <v>4608</v>
      </c>
      <c r="M344" s="19"/>
    </row>
    <row r="345" ht="14.1" customHeight="1" spans="1:13">
      <c r="A345" s="19"/>
      <c r="B345" s="19"/>
      <c r="C345" s="19"/>
      <c r="D345" s="19"/>
      <c r="E345" s="19"/>
      <c r="F345" s="19"/>
      <c r="G345" s="19"/>
      <c r="H345" s="21"/>
      <c r="I345" s="21"/>
      <c r="J345" s="19"/>
      <c r="K345" s="19"/>
      <c r="L345" s="19"/>
      <c r="M345" s="19"/>
    </row>
    <row r="346" ht="14.1" customHeight="1" spans="1:13">
      <c r="A346" s="22">
        <v>238</v>
      </c>
      <c r="B346" s="19"/>
      <c r="C346" s="19" t="s">
        <v>329</v>
      </c>
      <c r="D346" s="19" t="s">
        <v>39</v>
      </c>
      <c r="E346" s="19"/>
      <c r="F346" s="19"/>
      <c r="G346" s="19"/>
      <c r="H346" s="21"/>
      <c r="I346" s="21"/>
      <c r="J346" s="19"/>
      <c r="K346" s="19"/>
      <c r="L346" s="19"/>
      <c r="M346" s="24">
        <v>8863</v>
      </c>
    </row>
    <row r="347" ht="14.1" customHeight="1" spans="1:13">
      <c r="A347" s="19"/>
      <c r="B347" s="19"/>
      <c r="C347" s="19"/>
      <c r="D347" s="19"/>
      <c r="E347" s="19"/>
      <c r="F347" s="19"/>
      <c r="G347" s="19"/>
      <c r="H347" s="21"/>
      <c r="I347" s="21"/>
      <c r="J347" s="19"/>
      <c r="K347" s="19"/>
      <c r="L347" s="19"/>
      <c r="M347" s="19"/>
    </row>
    <row r="348" ht="14.1" customHeight="1" spans="1:13">
      <c r="A348" s="22">
        <v>239</v>
      </c>
      <c r="B348" s="19"/>
      <c r="C348" s="19" t="s">
        <v>330</v>
      </c>
      <c r="D348" s="19" t="s">
        <v>39</v>
      </c>
      <c r="E348" s="19"/>
      <c r="F348" s="19"/>
      <c r="G348" s="19"/>
      <c r="H348" s="21"/>
      <c r="I348" s="21"/>
      <c r="J348" s="19"/>
      <c r="K348" s="19"/>
      <c r="L348" s="24">
        <v>4425</v>
      </c>
      <c r="M348" s="19"/>
    </row>
    <row r="349" ht="14.1" customHeight="1" spans="1:13">
      <c r="A349" s="19"/>
      <c r="B349" s="19"/>
      <c r="C349" s="19"/>
      <c r="D349" s="19"/>
      <c r="E349" s="19"/>
      <c r="F349" s="19"/>
      <c r="G349" s="19"/>
      <c r="H349" s="21"/>
      <c r="I349" s="21"/>
      <c r="J349" s="19"/>
      <c r="K349" s="19"/>
      <c r="L349" s="19"/>
      <c r="M349" s="19"/>
    </row>
    <row r="350" ht="14.1" customHeight="1" spans="1:13">
      <c r="A350" s="22">
        <v>240</v>
      </c>
      <c r="B350" s="19"/>
      <c r="C350" s="19" t="s">
        <v>331</v>
      </c>
      <c r="D350" s="19" t="s">
        <v>39</v>
      </c>
      <c r="E350" s="19"/>
      <c r="F350" s="19"/>
      <c r="G350" s="19"/>
      <c r="H350" s="21"/>
      <c r="I350" s="21"/>
      <c r="J350" s="19"/>
      <c r="K350" s="19"/>
      <c r="L350" s="19"/>
      <c r="M350" s="24">
        <v>6422</v>
      </c>
    </row>
    <row r="351" ht="14.1" customHeight="1" spans="1:13">
      <c r="A351" s="19"/>
      <c r="B351" s="19"/>
      <c r="C351" s="19"/>
      <c r="D351" s="19"/>
      <c r="E351" s="19"/>
      <c r="F351" s="19"/>
      <c r="G351" s="19"/>
      <c r="H351" s="21"/>
      <c r="I351" s="21"/>
      <c r="J351" s="19"/>
      <c r="K351" s="19"/>
      <c r="L351" s="19"/>
      <c r="M351" s="19"/>
    </row>
    <row r="352" ht="14.1" customHeight="1" spans="1:13">
      <c r="A352" s="19"/>
      <c r="B352" s="19"/>
      <c r="C352" s="20" t="s">
        <v>62</v>
      </c>
      <c r="D352" s="19"/>
      <c r="E352" s="19"/>
      <c r="F352" s="19"/>
      <c r="G352" s="19"/>
      <c r="H352" s="21"/>
      <c r="I352" s="21"/>
      <c r="J352" s="19"/>
      <c r="K352" s="19"/>
      <c r="L352" s="19"/>
      <c r="M352" s="19"/>
    </row>
    <row r="353" ht="14.1" customHeight="1" spans="1:13">
      <c r="A353" s="22">
        <v>241</v>
      </c>
      <c r="B353" s="19"/>
      <c r="C353" s="19" t="s">
        <v>332</v>
      </c>
      <c r="D353" s="19" t="s">
        <v>39</v>
      </c>
      <c r="E353" s="19"/>
      <c r="F353" s="19"/>
      <c r="G353" s="19"/>
      <c r="H353" s="21"/>
      <c r="I353" s="21"/>
      <c r="J353" s="19"/>
      <c r="K353" s="19"/>
      <c r="L353" s="19"/>
      <c r="M353" s="24">
        <v>17675</v>
      </c>
    </row>
    <row r="354" ht="14.1" customHeight="1" spans="1:13">
      <c r="A354" s="19"/>
      <c r="B354" s="19"/>
      <c r="C354" s="19"/>
      <c r="D354" s="19"/>
      <c r="E354" s="19"/>
      <c r="F354" s="19"/>
      <c r="G354" s="19"/>
      <c r="H354" s="21"/>
      <c r="I354" s="21"/>
      <c r="J354" s="19"/>
      <c r="K354" s="19"/>
      <c r="L354" s="19"/>
      <c r="M354" s="19"/>
    </row>
    <row r="355" ht="14.1" customHeight="1" spans="1:13">
      <c r="A355" s="22">
        <v>242</v>
      </c>
      <c r="B355" s="19"/>
      <c r="C355" s="19" t="s">
        <v>333</v>
      </c>
      <c r="D355" s="19" t="s">
        <v>39</v>
      </c>
      <c r="E355" s="24">
        <v>3775</v>
      </c>
      <c r="F355" s="24">
        <v>4267</v>
      </c>
      <c r="G355" s="24">
        <v>5050</v>
      </c>
      <c r="H355" s="23">
        <v>5392</v>
      </c>
      <c r="I355" s="23">
        <v>6700</v>
      </c>
      <c r="J355" s="24">
        <v>7375</v>
      </c>
      <c r="K355" s="24">
        <v>8325</v>
      </c>
      <c r="L355" s="24">
        <v>9569</v>
      </c>
      <c r="M355" s="24">
        <v>11004</v>
      </c>
    </row>
    <row r="356" ht="14.1" customHeight="1" spans="1:13">
      <c r="A356" s="19"/>
      <c r="B356" s="19"/>
      <c r="C356" s="19"/>
      <c r="D356" s="19"/>
      <c r="E356" s="19"/>
      <c r="F356" s="19"/>
      <c r="G356" s="19"/>
      <c r="H356" s="21"/>
      <c r="I356" s="21"/>
      <c r="J356" s="19"/>
      <c r="K356" s="19"/>
      <c r="L356" s="19"/>
      <c r="M356" s="19"/>
    </row>
    <row r="357" ht="14.1" customHeight="1" spans="1:13">
      <c r="A357" s="22">
        <v>243</v>
      </c>
      <c r="B357" s="19"/>
      <c r="C357" s="19" t="s">
        <v>334</v>
      </c>
      <c r="D357" s="19" t="s">
        <v>39</v>
      </c>
      <c r="E357" s="24">
        <v>3983</v>
      </c>
      <c r="F357" s="24">
        <v>4713</v>
      </c>
      <c r="G357" s="24">
        <v>5563</v>
      </c>
      <c r="H357" s="23">
        <v>6013</v>
      </c>
      <c r="I357" s="21"/>
      <c r="J357" s="19"/>
      <c r="K357" s="19"/>
      <c r="L357" s="19"/>
      <c r="M357" s="24">
        <v>13258</v>
      </c>
    </row>
    <row r="358" ht="14.1" customHeight="1" spans="1:13">
      <c r="A358" s="19"/>
      <c r="B358" s="19"/>
      <c r="C358" s="19"/>
      <c r="D358" s="19"/>
      <c r="E358" s="19"/>
      <c r="F358" s="19"/>
      <c r="G358" s="19"/>
      <c r="H358" s="21"/>
      <c r="I358" s="21"/>
      <c r="J358" s="19"/>
      <c r="K358" s="19"/>
      <c r="L358" s="19"/>
      <c r="M358" s="19"/>
    </row>
    <row r="359" ht="14.1" customHeight="1" spans="1:13">
      <c r="A359" s="22">
        <v>244</v>
      </c>
      <c r="B359" s="19"/>
      <c r="C359" s="19" t="s">
        <v>335</v>
      </c>
      <c r="D359" s="19" t="s">
        <v>39</v>
      </c>
      <c r="E359" s="24">
        <v>4017</v>
      </c>
      <c r="F359" s="24">
        <v>4875</v>
      </c>
      <c r="G359" s="24">
        <v>5138</v>
      </c>
      <c r="H359" s="23">
        <v>5538</v>
      </c>
      <c r="I359" s="23">
        <v>6238</v>
      </c>
      <c r="J359" s="24">
        <v>7225</v>
      </c>
      <c r="K359" s="24">
        <v>8538</v>
      </c>
      <c r="L359" s="24">
        <v>9838</v>
      </c>
      <c r="M359" s="19"/>
    </row>
    <row r="360" ht="14.1" customHeight="1" spans="1:13">
      <c r="A360" s="19"/>
      <c r="B360" s="19"/>
      <c r="C360" s="19"/>
      <c r="D360" s="19"/>
      <c r="E360" s="19"/>
      <c r="F360" s="19"/>
      <c r="G360" s="19"/>
      <c r="H360" s="21"/>
      <c r="I360" s="21"/>
      <c r="J360" s="19"/>
      <c r="K360" s="19"/>
      <c r="L360" s="19"/>
      <c r="M360" s="19"/>
    </row>
    <row r="361" ht="14.1" customHeight="1" spans="1:13">
      <c r="A361" s="22">
        <v>245</v>
      </c>
      <c r="B361" s="19"/>
      <c r="C361" s="19" t="s">
        <v>336</v>
      </c>
      <c r="D361" s="19" t="s">
        <v>39</v>
      </c>
      <c r="E361" s="24">
        <v>2867</v>
      </c>
      <c r="F361" s="24">
        <v>3150</v>
      </c>
      <c r="G361" s="24">
        <v>3517</v>
      </c>
      <c r="H361" s="23">
        <v>3933</v>
      </c>
      <c r="I361" s="23">
        <v>4392</v>
      </c>
      <c r="J361" s="24">
        <v>6117</v>
      </c>
      <c r="K361" s="24">
        <v>6942</v>
      </c>
      <c r="L361" s="24">
        <v>8006</v>
      </c>
      <c r="M361" s="24">
        <v>9207</v>
      </c>
    </row>
    <row r="362" ht="14.1" customHeight="1" spans="1:13">
      <c r="A362" s="19"/>
      <c r="B362" s="19"/>
      <c r="C362" s="19"/>
      <c r="D362" s="19"/>
      <c r="E362" s="19"/>
      <c r="F362" s="19"/>
      <c r="G362" s="19"/>
      <c r="H362" s="21"/>
      <c r="I362" s="21"/>
      <c r="J362" s="19"/>
      <c r="K362" s="19"/>
      <c r="L362" s="19"/>
      <c r="M362" s="19"/>
    </row>
    <row r="363" ht="14.1" customHeight="1" spans="1:13">
      <c r="A363" s="22">
        <v>246</v>
      </c>
      <c r="B363" s="19"/>
      <c r="C363" s="19" t="s">
        <v>63</v>
      </c>
      <c r="D363" s="19" t="s">
        <v>39</v>
      </c>
      <c r="E363" s="19"/>
      <c r="F363" s="19"/>
      <c r="G363" s="24">
        <v>3188</v>
      </c>
      <c r="H363" s="23">
        <v>3438</v>
      </c>
      <c r="I363" s="23">
        <v>3813</v>
      </c>
      <c r="J363" s="24">
        <v>4113</v>
      </c>
      <c r="K363" s="24">
        <v>4913</v>
      </c>
      <c r="L363" s="24">
        <v>5838</v>
      </c>
      <c r="M363" s="19"/>
    </row>
    <row r="364" ht="14.1" customHeight="1" spans="1:13">
      <c r="A364" s="19"/>
      <c r="B364" s="19"/>
      <c r="C364" s="19"/>
      <c r="D364" s="19"/>
      <c r="E364" s="19"/>
      <c r="F364" s="19"/>
      <c r="G364" s="19"/>
      <c r="H364" s="21"/>
      <c r="I364" s="21"/>
      <c r="J364" s="19"/>
      <c r="K364" s="19"/>
      <c r="L364" s="19"/>
      <c r="M364" s="19"/>
    </row>
    <row r="365" ht="14.1" customHeight="1" spans="1:13">
      <c r="A365" s="22">
        <v>247</v>
      </c>
      <c r="B365" s="19"/>
      <c r="C365" s="19" t="s">
        <v>337</v>
      </c>
      <c r="D365" s="19" t="s">
        <v>39</v>
      </c>
      <c r="E365" s="19"/>
      <c r="F365" s="19"/>
      <c r="G365" s="19"/>
      <c r="H365" s="21"/>
      <c r="I365" s="21"/>
      <c r="J365" s="24">
        <v>6555</v>
      </c>
      <c r="K365" s="24">
        <v>7650</v>
      </c>
      <c r="L365" s="24">
        <v>8970</v>
      </c>
      <c r="M365" s="24">
        <v>10316</v>
      </c>
    </row>
    <row r="366" ht="14.1" customHeight="1" spans="1:13">
      <c r="A366" s="19"/>
      <c r="B366" s="19"/>
      <c r="C366" s="19"/>
      <c r="D366" s="19"/>
      <c r="E366" s="19"/>
      <c r="F366" s="19"/>
      <c r="G366" s="19"/>
      <c r="H366" s="21"/>
      <c r="I366" s="21"/>
      <c r="J366" s="19"/>
      <c r="K366" s="19"/>
      <c r="L366" s="19"/>
      <c r="M366" s="19"/>
    </row>
    <row r="367" ht="14.1" customHeight="1" spans="1:13">
      <c r="A367" s="22">
        <v>248</v>
      </c>
      <c r="B367" s="19"/>
      <c r="C367" s="19" t="s">
        <v>338</v>
      </c>
      <c r="D367" s="19" t="s">
        <v>39</v>
      </c>
      <c r="E367" s="19"/>
      <c r="F367" s="19"/>
      <c r="G367" s="24">
        <v>6100</v>
      </c>
      <c r="H367" s="23">
        <v>6550</v>
      </c>
      <c r="I367" s="23">
        <v>7400</v>
      </c>
      <c r="J367" s="24">
        <v>8775</v>
      </c>
      <c r="K367" s="24">
        <v>10150</v>
      </c>
      <c r="L367" s="24">
        <v>11750</v>
      </c>
      <c r="M367" s="19"/>
    </row>
    <row r="368" ht="14.1" customHeight="1" spans="1:13">
      <c r="A368" s="19"/>
      <c r="B368" s="19"/>
      <c r="C368" s="19"/>
      <c r="D368" s="19"/>
      <c r="E368" s="19"/>
      <c r="F368" s="19"/>
      <c r="G368" s="19"/>
      <c r="H368" s="21"/>
      <c r="I368" s="21"/>
      <c r="J368" s="19"/>
      <c r="K368" s="19"/>
      <c r="L368" s="19"/>
      <c r="M368" s="19"/>
    </row>
    <row r="369" ht="14.1" customHeight="1" spans="1:13">
      <c r="A369" s="22">
        <v>249</v>
      </c>
      <c r="B369" s="19"/>
      <c r="C369" s="19" t="s">
        <v>64</v>
      </c>
      <c r="D369" s="19" t="s">
        <v>39</v>
      </c>
      <c r="E369" s="19"/>
      <c r="F369" s="19"/>
      <c r="G369" s="19"/>
      <c r="H369" s="23">
        <v>5800</v>
      </c>
      <c r="I369" s="23">
        <v>6325</v>
      </c>
      <c r="J369" s="24">
        <v>6800</v>
      </c>
      <c r="K369" s="24">
        <v>9500</v>
      </c>
      <c r="L369" s="24">
        <v>11300</v>
      </c>
      <c r="M369" s="19"/>
    </row>
    <row r="370" ht="14.1" customHeight="1" spans="1:13">
      <c r="A370" s="19"/>
      <c r="B370" s="19"/>
      <c r="C370" s="19"/>
      <c r="D370" s="19"/>
      <c r="E370" s="19"/>
      <c r="F370" s="19"/>
      <c r="G370" s="19"/>
      <c r="H370" s="21"/>
      <c r="I370" s="21"/>
      <c r="J370" s="19"/>
      <c r="K370" s="19"/>
      <c r="L370" s="19"/>
      <c r="M370" s="19"/>
    </row>
    <row r="371" ht="14.1" customHeight="1" spans="1:13">
      <c r="A371" s="22">
        <v>250</v>
      </c>
      <c r="B371" s="19"/>
      <c r="C371" s="19" t="s">
        <v>339</v>
      </c>
      <c r="D371" s="19" t="s">
        <v>39</v>
      </c>
      <c r="E371" s="19"/>
      <c r="F371" s="24">
        <v>4263</v>
      </c>
      <c r="G371" s="24">
        <v>5425</v>
      </c>
      <c r="H371" s="23">
        <v>5913</v>
      </c>
      <c r="I371" s="23">
        <v>7096</v>
      </c>
      <c r="J371" s="24">
        <v>7936</v>
      </c>
      <c r="K371" s="24">
        <v>9905</v>
      </c>
      <c r="L371" s="24">
        <v>11655</v>
      </c>
      <c r="M371" s="19"/>
    </row>
    <row r="372" ht="14.1" customHeight="1" spans="1:13">
      <c r="A372" s="19"/>
      <c r="B372" s="19"/>
      <c r="C372" s="19"/>
      <c r="D372" s="19"/>
      <c r="E372" s="19"/>
      <c r="F372" s="19"/>
      <c r="G372" s="19"/>
      <c r="H372" s="21"/>
      <c r="I372" s="21"/>
      <c r="J372" s="19"/>
      <c r="K372" s="19"/>
      <c r="L372" s="19"/>
      <c r="M372" s="19"/>
    </row>
    <row r="373" ht="14.1" customHeight="1" spans="1:13">
      <c r="A373" s="22">
        <v>251</v>
      </c>
      <c r="B373" s="19"/>
      <c r="C373" s="19" t="s">
        <v>340</v>
      </c>
      <c r="D373" s="19" t="s">
        <v>39</v>
      </c>
      <c r="E373" s="19"/>
      <c r="F373" s="24">
        <v>3675</v>
      </c>
      <c r="G373" s="24">
        <v>4763</v>
      </c>
      <c r="H373" s="23">
        <v>5113</v>
      </c>
      <c r="I373" s="23">
        <v>6063</v>
      </c>
      <c r="J373" s="24">
        <v>6738</v>
      </c>
      <c r="K373" s="24">
        <v>8200</v>
      </c>
      <c r="L373" s="24">
        <v>9600</v>
      </c>
      <c r="M373" s="19"/>
    </row>
    <row r="374" ht="14.1" customHeight="1" spans="1:13">
      <c r="A374" s="19"/>
      <c r="B374" s="19"/>
      <c r="C374" s="19"/>
      <c r="D374" s="19"/>
      <c r="E374" s="19"/>
      <c r="F374" s="19"/>
      <c r="G374" s="19"/>
      <c r="H374" s="21"/>
      <c r="I374" s="21"/>
      <c r="J374" s="19"/>
      <c r="K374" s="19"/>
      <c r="L374" s="19"/>
      <c r="M374" s="19"/>
    </row>
    <row r="375" ht="14.1" customHeight="1" spans="1:13">
      <c r="A375" s="22">
        <v>252</v>
      </c>
      <c r="B375" s="19"/>
      <c r="C375" s="19" t="s">
        <v>341</v>
      </c>
      <c r="D375" s="19" t="s">
        <v>39</v>
      </c>
      <c r="E375" s="24">
        <v>21675</v>
      </c>
      <c r="F375" s="19"/>
      <c r="G375" s="19"/>
      <c r="H375" s="21"/>
      <c r="I375" s="21"/>
      <c r="J375" s="19"/>
      <c r="K375" s="19"/>
      <c r="L375" s="19"/>
      <c r="M375" s="19"/>
    </row>
    <row r="376" ht="14.1" customHeight="1" spans="1:13">
      <c r="A376" s="19"/>
      <c r="B376" s="19"/>
      <c r="C376" s="19"/>
      <c r="D376" s="19"/>
      <c r="E376" s="19"/>
      <c r="F376" s="19"/>
      <c r="G376" s="19"/>
      <c r="H376" s="21"/>
      <c r="I376" s="21"/>
      <c r="J376" s="19"/>
      <c r="K376" s="19"/>
      <c r="L376" s="19"/>
      <c r="M376" s="19"/>
    </row>
    <row r="377" ht="14.1" customHeight="1" spans="1:13">
      <c r="A377" s="22">
        <v>253</v>
      </c>
      <c r="B377" s="19"/>
      <c r="C377" s="19" t="s">
        <v>342</v>
      </c>
      <c r="D377" s="19" t="s">
        <v>39</v>
      </c>
      <c r="E377" s="19"/>
      <c r="F377" s="19"/>
      <c r="G377" s="19"/>
      <c r="H377" s="21"/>
      <c r="I377" s="21"/>
      <c r="J377" s="19"/>
      <c r="K377" s="19"/>
      <c r="L377" s="19"/>
      <c r="M377" s="24">
        <v>15013</v>
      </c>
    </row>
    <row r="378" ht="14.1" customHeight="1" spans="1:13">
      <c r="A378" s="19"/>
      <c r="B378" s="19"/>
      <c r="C378" s="19"/>
      <c r="D378" s="19"/>
      <c r="E378" s="19"/>
      <c r="F378" s="19"/>
      <c r="G378" s="19"/>
      <c r="H378" s="21"/>
      <c r="I378" s="21"/>
      <c r="J378" s="19"/>
      <c r="K378" s="19"/>
      <c r="L378" s="19"/>
      <c r="M378" s="19"/>
    </row>
    <row r="379" ht="14.1" customHeight="1" spans="1:13">
      <c r="A379" s="22">
        <v>254</v>
      </c>
      <c r="B379" s="19"/>
      <c r="C379" s="19" t="s">
        <v>343</v>
      </c>
      <c r="D379" s="19" t="s">
        <v>39</v>
      </c>
      <c r="E379" s="19"/>
      <c r="F379" s="19"/>
      <c r="G379" s="19"/>
      <c r="H379" s="21"/>
      <c r="I379" s="21"/>
      <c r="J379" s="19"/>
      <c r="K379" s="19"/>
      <c r="L379" s="19"/>
      <c r="M379" s="24">
        <v>18088</v>
      </c>
    </row>
    <row r="380" ht="14.1" customHeight="1" spans="1:13">
      <c r="A380" s="19"/>
      <c r="B380" s="19"/>
      <c r="C380" s="19"/>
      <c r="D380" s="19"/>
      <c r="E380" s="19"/>
      <c r="F380" s="19"/>
      <c r="G380" s="19"/>
      <c r="H380" s="21"/>
      <c r="I380" s="21"/>
      <c r="J380" s="19"/>
      <c r="K380" s="19"/>
      <c r="L380" s="19"/>
      <c r="M380" s="19"/>
    </row>
    <row r="381" ht="14.1" customHeight="1" spans="1:13">
      <c r="A381" s="19"/>
      <c r="B381" s="19"/>
      <c r="C381" s="20" t="s">
        <v>344</v>
      </c>
      <c r="D381" s="19"/>
      <c r="E381" s="19"/>
      <c r="F381" s="19"/>
      <c r="G381" s="19"/>
      <c r="H381" s="21"/>
      <c r="I381" s="21"/>
      <c r="J381" s="19"/>
      <c r="K381" s="19"/>
      <c r="L381" s="19"/>
      <c r="M381" s="19"/>
    </row>
    <row r="382" ht="14.1" customHeight="1" spans="1:13">
      <c r="A382" s="22">
        <v>255</v>
      </c>
      <c r="B382" s="19"/>
      <c r="C382" s="19" t="s">
        <v>345</v>
      </c>
      <c r="D382" s="19" t="s">
        <v>39</v>
      </c>
      <c r="E382" s="24">
        <v>2688</v>
      </c>
      <c r="F382" s="24">
        <v>2838</v>
      </c>
      <c r="G382" s="24">
        <v>3313</v>
      </c>
      <c r="H382" s="23">
        <v>3658</v>
      </c>
      <c r="I382" s="23">
        <v>4267</v>
      </c>
      <c r="J382" s="19"/>
      <c r="K382" s="19"/>
      <c r="L382" s="19"/>
      <c r="M382" s="19"/>
    </row>
    <row r="383" ht="14.1" customHeight="1" spans="1:13">
      <c r="A383" s="19"/>
      <c r="B383" s="19"/>
      <c r="C383" s="19"/>
      <c r="D383" s="19"/>
      <c r="E383" s="19"/>
      <c r="F383" s="19"/>
      <c r="G383" s="19"/>
      <c r="H383" s="21"/>
      <c r="I383" s="21"/>
      <c r="J383" s="19"/>
      <c r="K383" s="19"/>
      <c r="L383" s="19"/>
      <c r="M383" s="19"/>
    </row>
    <row r="384" ht="14.1" customHeight="1" spans="1:13">
      <c r="A384" s="22">
        <v>256</v>
      </c>
      <c r="B384" s="19"/>
      <c r="C384" s="19" t="s">
        <v>346</v>
      </c>
      <c r="D384" s="19" t="s">
        <v>39</v>
      </c>
      <c r="E384" s="19"/>
      <c r="F384" s="19"/>
      <c r="G384" s="19"/>
      <c r="H384" s="21"/>
      <c r="I384" s="21"/>
      <c r="J384" s="19"/>
      <c r="K384" s="19"/>
      <c r="L384" s="19"/>
      <c r="M384" s="24">
        <v>12525</v>
      </c>
    </row>
    <row r="385" ht="14.1" customHeight="1" spans="1:13">
      <c r="A385" s="19"/>
      <c r="B385" s="19"/>
      <c r="C385" s="19"/>
      <c r="D385" s="19"/>
      <c r="E385" s="19"/>
      <c r="F385" s="19"/>
      <c r="G385" s="19"/>
      <c r="H385" s="21"/>
      <c r="I385" s="21"/>
      <c r="J385" s="19"/>
      <c r="K385" s="19"/>
      <c r="L385" s="19"/>
      <c r="M385" s="19"/>
    </row>
    <row r="386" ht="14.1" customHeight="1" spans="1:13">
      <c r="A386" s="22">
        <v>257</v>
      </c>
      <c r="B386" s="19"/>
      <c r="C386" s="19" t="s">
        <v>347</v>
      </c>
      <c r="D386" s="19" t="s">
        <v>39</v>
      </c>
      <c r="E386" s="19"/>
      <c r="F386" s="19"/>
      <c r="G386" s="19"/>
      <c r="H386" s="21"/>
      <c r="I386" s="21"/>
      <c r="J386" s="19"/>
      <c r="K386" s="19"/>
      <c r="L386" s="19"/>
      <c r="M386" s="24">
        <v>15288</v>
      </c>
    </row>
    <row r="387" ht="14.1" customHeight="1" spans="1:13">
      <c r="A387" s="19"/>
      <c r="B387" s="19"/>
      <c r="C387" s="19"/>
      <c r="D387" s="19"/>
      <c r="E387" s="19"/>
      <c r="F387" s="19"/>
      <c r="G387" s="19"/>
      <c r="H387" s="21"/>
      <c r="I387" s="21"/>
      <c r="J387" s="19"/>
      <c r="K387" s="19"/>
      <c r="L387" s="19"/>
      <c r="M387" s="19"/>
    </row>
    <row r="388" ht="14.1" customHeight="1" spans="1:13">
      <c r="A388" s="22">
        <v>258</v>
      </c>
      <c r="B388" s="19"/>
      <c r="C388" s="19" t="s">
        <v>348</v>
      </c>
      <c r="D388" s="19" t="s">
        <v>39</v>
      </c>
      <c r="E388" s="24">
        <v>2517</v>
      </c>
      <c r="F388" s="24">
        <v>2933</v>
      </c>
      <c r="G388" s="24">
        <v>4375</v>
      </c>
      <c r="H388" s="23">
        <v>4871</v>
      </c>
      <c r="I388" s="23">
        <v>5728</v>
      </c>
      <c r="J388" s="24">
        <v>6364</v>
      </c>
      <c r="K388" s="24">
        <v>7138</v>
      </c>
      <c r="L388" s="24">
        <v>8896</v>
      </c>
      <c r="M388" s="19"/>
    </row>
    <row r="389" ht="14.1" customHeight="1" spans="1:13">
      <c r="A389" s="19"/>
      <c r="B389" s="19"/>
      <c r="C389" s="19"/>
      <c r="D389" s="19"/>
      <c r="E389" s="19"/>
      <c r="F389" s="19"/>
      <c r="G389" s="19"/>
      <c r="H389" s="21"/>
      <c r="I389" s="21"/>
      <c r="J389" s="19"/>
      <c r="K389" s="19"/>
      <c r="L389" s="19"/>
      <c r="M389" s="19"/>
    </row>
    <row r="390" ht="14.1" customHeight="1" spans="1:13">
      <c r="A390" s="22">
        <v>259</v>
      </c>
      <c r="B390" s="19"/>
      <c r="C390" s="19" t="s">
        <v>349</v>
      </c>
      <c r="D390" s="19" t="s">
        <v>39</v>
      </c>
      <c r="E390" s="19"/>
      <c r="F390" s="19"/>
      <c r="G390" s="19"/>
      <c r="H390" s="21"/>
      <c r="I390" s="21"/>
      <c r="J390" s="19"/>
      <c r="K390" s="19"/>
      <c r="L390" s="19"/>
      <c r="M390" s="24">
        <v>13775</v>
      </c>
    </row>
    <row r="391" ht="14.1" customHeight="1" spans="1:13">
      <c r="A391" s="19"/>
      <c r="B391" s="19"/>
      <c r="C391" s="19"/>
      <c r="D391" s="19"/>
      <c r="E391" s="19"/>
      <c r="F391" s="19"/>
      <c r="G391" s="19"/>
      <c r="H391" s="21"/>
      <c r="I391" s="21"/>
      <c r="J391" s="19"/>
      <c r="K391" s="19"/>
      <c r="L391" s="19"/>
      <c r="M391" s="19"/>
    </row>
    <row r="392" ht="14.1" customHeight="1" spans="1:13">
      <c r="A392" s="22">
        <v>260</v>
      </c>
      <c r="B392" s="19"/>
      <c r="C392" s="19" t="s">
        <v>350</v>
      </c>
      <c r="D392" s="19" t="s">
        <v>39</v>
      </c>
      <c r="E392" s="19"/>
      <c r="F392" s="19"/>
      <c r="G392" s="19"/>
      <c r="H392" s="21"/>
      <c r="I392" s="21"/>
      <c r="J392" s="19"/>
      <c r="K392" s="19"/>
      <c r="L392" s="19"/>
      <c r="M392" s="24">
        <v>9138</v>
      </c>
    </row>
    <row r="393" ht="14.1" customHeight="1" spans="1:13">
      <c r="A393" s="19"/>
      <c r="B393" s="19"/>
      <c r="C393" s="19"/>
      <c r="D393" s="19"/>
      <c r="E393" s="19"/>
      <c r="F393" s="19"/>
      <c r="G393" s="19"/>
      <c r="H393" s="21"/>
      <c r="I393" s="21"/>
      <c r="J393" s="19"/>
      <c r="K393" s="19"/>
      <c r="L393" s="19"/>
      <c r="M393" s="19"/>
    </row>
    <row r="394" ht="14.1" customHeight="1" spans="1:13">
      <c r="A394" s="22">
        <v>261</v>
      </c>
      <c r="B394" s="19"/>
      <c r="C394" s="19" t="s">
        <v>351</v>
      </c>
      <c r="D394" s="19" t="s">
        <v>39</v>
      </c>
      <c r="E394" s="19"/>
      <c r="F394" s="19"/>
      <c r="G394" s="19"/>
      <c r="H394" s="21"/>
      <c r="I394" s="21"/>
      <c r="J394" s="19"/>
      <c r="K394" s="19"/>
      <c r="L394" s="19"/>
      <c r="M394" s="24">
        <v>13788</v>
      </c>
    </row>
    <row r="395" ht="14.1" customHeight="1" spans="1:13">
      <c r="A395" s="19"/>
      <c r="B395" s="19"/>
      <c r="C395" s="19"/>
      <c r="D395" s="19"/>
      <c r="E395" s="19"/>
      <c r="F395" s="19"/>
      <c r="G395" s="19"/>
      <c r="H395" s="21"/>
      <c r="I395" s="21"/>
      <c r="J395" s="19"/>
      <c r="K395" s="19"/>
      <c r="L395" s="19"/>
      <c r="M395" s="19"/>
    </row>
    <row r="396" ht="14.1" customHeight="1" spans="1:13">
      <c r="A396" s="22">
        <v>262</v>
      </c>
      <c r="B396" s="19"/>
      <c r="C396" s="19" t="s">
        <v>352</v>
      </c>
      <c r="D396" s="19" t="s">
        <v>39</v>
      </c>
      <c r="E396" s="24">
        <v>2350</v>
      </c>
      <c r="F396" s="24">
        <v>2638</v>
      </c>
      <c r="G396" s="24">
        <v>4125</v>
      </c>
      <c r="H396" s="23">
        <v>4570</v>
      </c>
      <c r="I396" s="23">
        <v>5332</v>
      </c>
      <c r="J396" s="24">
        <v>5972</v>
      </c>
      <c r="K396" s="24">
        <v>7028</v>
      </c>
      <c r="L396" s="19"/>
      <c r="M396" s="24">
        <v>14525</v>
      </c>
    </row>
    <row r="397" ht="14.1" customHeight="1" spans="1:13">
      <c r="A397" s="19"/>
      <c r="B397" s="19"/>
      <c r="C397" s="19"/>
      <c r="D397" s="19"/>
      <c r="E397" s="19"/>
      <c r="F397" s="19"/>
      <c r="G397" s="19"/>
      <c r="H397" s="21"/>
      <c r="I397" s="21"/>
      <c r="J397" s="19"/>
      <c r="K397" s="19"/>
      <c r="L397" s="19"/>
      <c r="M397" s="19"/>
    </row>
    <row r="398" ht="14.1" customHeight="1" spans="1:13">
      <c r="A398" s="22">
        <v>263</v>
      </c>
      <c r="B398" s="19"/>
      <c r="C398" s="19" t="s">
        <v>353</v>
      </c>
      <c r="D398" s="19" t="s">
        <v>39</v>
      </c>
      <c r="E398" s="19"/>
      <c r="F398" s="19"/>
      <c r="G398" s="19"/>
      <c r="H398" s="21"/>
      <c r="I398" s="21"/>
      <c r="J398" s="19"/>
      <c r="K398" s="19"/>
      <c r="L398" s="24">
        <v>8175</v>
      </c>
      <c r="M398" s="24">
        <v>9401</v>
      </c>
    </row>
    <row r="399" ht="14.1" customHeight="1" spans="1:13">
      <c r="A399" s="19"/>
      <c r="B399" s="19"/>
      <c r="C399" s="19"/>
      <c r="D399" s="19"/>
      <c r="E399" s="19"/>
      <c r="F399" s="19"/>
      <c r="G399" s="19"/>
      <c r="H399" s="21"/>
      <c r="I399" s="21"/>
      <c r="J399" s="19"/>
      <c r="K399" s="19"/>
      <c r="L399" s="19"/>
      <c r="M399" s="19"/>
    </row>
    <row r="400" ht="14.1" customHeight="1" spans="1:13">
      <c r="A400" s="22">
        <v>264</v>
      </c>
      <c r="B400" s="19"/>
      <c r="C400" s="19" t="s">
        <v>354</v>
      </c>
      <c r="D400" s="19" t="s">
        <v>39</v>
      </c>
      <c r="E400" s="24">
        <v>3600</v>
      </c>
      <c r="F400" s="24">
        <v>3955</v>
      </c>
      <c r="G400" s="24">
        <v>4290</v>
      </c>
      <c r="H400" s="23">
        <v>4842</v>
      </c>
      <c r="I400" s="23">
        <v>5525</v>
      </c>
      <c r="J400" s="24">
        <v>6432</v>
      </c>
      <c r="K400" s="24">
        <v>7397</v>
      </c>
      <c r="L400" s="24">
        <v>9318</v>
      </c>
      <c r="M400" s="19"/>
    </row>
    <row r="401" ht="14.1" customHeight="1" spans="1:13">
      <c r="A401" s="19"/>
      <c r="B401" s="19"/>
      <c r="C401" s="19"/>
      <c r="D401" s="19"/>
      <c r="E401" s="19"/>
      <c r="F401" s="19"/>
      <c r="G401" s="19"/>
      <c r="H401" s="21"/>
      <c r="I401" s="21"/>
      <c r="J401" s="19"/>
      <c r="K401" s="19"/>
      <c r="L401" s="19"/>
      <c r="M401" s="19"/>
    </row>
    <row r="402" ht="14.1" customHeight="1" spans="1:13">
      <c r="A402" s="22">
        <v>265</v>
      </c>
      <c r="B402" s="19"/>
      <c r="C402" s="19" t="s">
        <v>355</v>
      </c>
      <c r="D402" s="19" t="s">
        <v>39</v>
      </c>
      <c r="E402" s="19"/>
      <c r="F402" s="24">
        <v>3038</v>
      </c>
      <c r="G402" s="19"/>
      <c r="H402" s="21"/>
      <c r="I402" s="21"/>
      <c r="J402" s="19"/>
      <c r="K402" s="19"/>
      <c r="L402" s="19"/>
      <c r="M402" s="19"/>
    </row>
    <row r="403" ht="14.1" customHeight="1" spans="1:13">
      <c r="A403" s="19"/>
      <c r="B403" s="19"/>
      <c r="C403" s="19"/>
      <c r="D403" s="19"/>
      <c r="E403" s="19"/>
      <c r="F403" s="19"/>
      <c r="G403" s="19"/>
      <c r="H403" s="21"/>
      <c r="I403" s="21"/>
      <c r="J403" s="19"/>
      <c r="K403" s="19"/>
      <c r="L403" s="19"/>
      <c r="M403" s="19"/>
    </row>
    <row r="404" ht="14.1" customHeight="1" spans="1:13">
      <c r="A404" s="22">
        <v>266</v>
      </c>
      <c r="B404" s="19"/>
      <c r="C404" s="19" t="s">
        <v>356</v>
      </c>
      <c r="D404" s="19" t="s">
        <v>39</v>
      </c>
      <c r="E404" s="19"/>
      <c r="F404" s="24">
        <v>3900</v>
      </c>
      <c r="G404" s="19"/>
      <c r="H404" s="21"/>
      <c r="I404" s="21"/>
      <c r="J404" s="19"/>
      <c r="K404" s="19"/>
      <c r="L404" s="19"/>
      <c r="M404" s="19"/>
    </row>
    <row r="405" ht="14.1" customHeight="1" spans="1:13">
      <c r="A405" s="19"/>
      <c r="B405" s="19"/>
      <c r="C405" s="19"/>
      <c r="D405" s="19"/>
      <c r="E405" s="19"/>
      <c r="F405" s="19"/>
      <c r="G405" s="19"/>
      <c r="H405" s="21"/>
      <c r="I405" s="21"/>
      <c r="J405" s="19"/>
      <c r="K405" s="19"/>
      <c r="L405" s="19"/>
      <c r="M405" s="19"/>
    </row>
    <row r="406" ht="14.1" customHeight="1" spans="1:13">
      <c r="A406" s="22">
        <v>267</v>
      </c>
      <c r="B406" s="19"/>
      <c r="C406" s="19" t="s">
        <v>357</v>
      </c>
      <c r="D406" s="19" t="s">
        <v>39</v>
      </c>
      <c r="E406" s="19"/>
      <c r="F406" s="24">
        <v>3696</v>
      </c>
      <c r="G406" s="19"/>
      <c r="H406" s="21"/>
      <c r="I406" s="21"/>
      <c r="J406" s="19"/>
      <c r="K406" s="19"/>
      <c r="L406" s="19"/>
      <c r="M406" s="19"/>
    </row>
    <row r="407" ht="14.1" customHeight="1" spans="1:13">
      <c r="A407" s="19"/>
      <c r="B407" s="19"/>
      <c r="C407" s="19"/>
      <c r="D407" s="19"/>
      <c r="E407" s="19"/>
      <c r="F407" s="19"/>
      <c r="G407" s="19"/>
      <c r="H407" s="21"/>
      <c r="I407" s="21"/>
      <c r="J407" s="19"/>
      <c r="K407" s="19"/>
      <c r="L407" s="19"/>
      <c r="M407" s="19"/>
    </row>
    <row r="408" ht="14.1" customHeight="1" spans="1:13">
      <c r="A408" s="22">
        <v>268</v>
      </c>
      <c r="B408" s="19"/>
      <c r="C408" s="19" t="s">
        <v>358</v>
      </c>
      <c r="D408" s="19" t="s">
        <v>39</v>
      </c>
      <c r="E408" s="19"/>
      <c r="F408" s="19"/>
      <c r="G408" s="19"/>
      <c r="H408" s="23">
        <v>4625</v>
      </c>
      <c r="I408" s="21"/>
      <c r="J408" s="19"/>
      <c r="K408" s="19"/>
      <c r="L408" s="19"/>
      <c r="M408" s="19"/>
    </row>
    <row r="409" ht="14.1" customHeight="1" spans="1:13">
      <c r="A409" s="19"/>
      <c r="B409" s="19"/>
      <c r="C409" s="19"/>
      <c r="D409" s="19"/>
      <c r="E409" s="19"/>
      <c r="F409" s="19"/>
      <c r="G409" s="19"/>
      <c r="H409" s="21"/>
      <c r="I409" s="21"/>
      <c r="J409" s="19"/>
      <c r="K409" s="19"/>
      <c r="L409" s="19"/>
      <c r="M409" s="19"/>
    </row>
    <row r="410" ht="14.1" customHeight="1" spans="1:13">
      <c r="A410" s="22">
        <v>269</v>
      </c>
      <c r="B410" s="19"/>
      <c r="C410" s="19" t="s">
        <v>359</v>
      </c>
      <c r="D410" s="19" t="s">
        <v>39</v>
      </c>
      <c r="E410" s="19"/>
      <c r="F410" s="19"/>
      <c r="G410" s="19"/>
      <c r="H410" s="23">
        <v>5738</v>
      </c>
      <c r="I410" s="21"/>
      <c r="J410" s="19"/>
      <c r="K410" s="19"/>
      <c r="L410" s="19"/>
      <c r="M410" s="19"/>
    </row>
    <row r="411" ht="14.1" customHeight="1" spans="1:13">
      <c r="A411" s="19"/>
      <c r="B411" s="19"/>
      <c r="C411" s="19"/>
      <c r="D411" s="19"/>
      <c r="E411" s="19"/>
      <c r="F411" s="19"/>
      <c r="G411" s="19"/>
      <c r="H411" s="21"/>
      <c r="I411" s="21"/>
      <c r="J411" s="19"/>
      <c r="K411" s="19"/>
      <c r="L411" s="19"/>
      <c r="M411" s="19"/>
    </row>
    <row r="412" ht="14.1" customHeight="1" spans="1:13">
      <c r="A412" s="22">
        <v>270</v>
      </c>
      <c r="B412" s="19"/>
      <c r="C412" s="19" t="s">
        <v>360</v>
      </c>
      <c r="D412" s="19" t="s">
        <v>39</v>
      </c>
      <c r="E412" s="24">
        <v>3100</v>
      </c>
      <c r="F412" s="19"/>
      <c r="G412" s="19"/>
      <c r="H412" s="21"/>
      <c r="I412" s="23">
        <v>5213</v>
      </c>
      <c r="J412" s="24">
        <v>5894</v>
      </c>
      <c r="K412" s="19"/>
      <c r="L412" s="19"/>
      <c r="M412" s="19"/>
    </row>
    <row r="413" ht="14.1" customHeight="1" spans="1:13">
      <c r="A413" s="19"/>
      <c r="B413" s="19"/>
      <c r="C413" s="19"/>
      <c r="D413" s="19"/>
      <c r="E413" s="19"/>
      <c r="F413" s="19"/>
      <c r="G413" s="19"/>
      <c r="H413" s="21"/>
      <c r="I413" s="21"/>
      <c r="J413" s="19"/>
      <c r="K413" s="19"/>
      <c r="L413" s="19"/>
      <c r="M413" s="19"/>
    </row>
    <row r="414" ht="14.1" customHeight="1" spans="1:13">
      <c r="A414" s="22">
        <v>271</v>
      </c>
      <c r="B414" s="19"/>
      <c r="C414" s="19" t="s">
        <v>361</v>
      </c>
      <c r="D414" s="19" t="s">
        <v>39</v>
      </c>
      <c r="E414" s="19"/>
      <c r="F414" s="19"/>
      <c r="G414" s="19"/>
      <c r="H414" s="21"/>
      <c r="I414" s="21"/>
      <c r="J414" s="19"/>
      <c r="K414" s="19"/>
      <c r="L414" s="19"/>
      <c r="M414" s="24">
        <v>12525</v>
      </c>
    </row>
    <row r="415" ht="14.1" customHeight="1" spans="1:13">
      <c r="A415" s="19"/>
      <c r="B415" s="19"/>
      <c r="C415" s="19"/>
      <c r="D415" s="19"/>
      <c r="E415" s="19"/>
      <c r="F415" s="19"/>
      <c r="G415" s="19"/>
      <c r="H415" s="21"/>
      <c r="I415" s="21"/>
      <c r="J415" s="19"/>
      <c r="K415" s="19"/>
      <c r="L415" s="19"/>
      <c r="M415" s="19"/>
    </row>
    <row r="416" ht="14.1" customHeight="1" spans="1:13">
      <c r="A416" s="22">
        <v>272</v>
      </c>
      <c r="B416" s="19"/>
      <c r="C416" s="19" t="s">
        <v>362</v>
      </c>
      <c r="D416" s="19" t="s">
        <v>39</v>
      </c>
      <c r="E416" s="19"/>
      <c r="F416" s="19"/>
      <c r="G416" s="19"/>
      <c r="H416" s="21"/>
      <c r="I416" s="21"/>
      <c r="J416" s="19"/>
      <c r="K416" s="19"/>
      <c r="L416" s="19"/>
      <c r="M416" s="24">
        <v>16750</v>
      </c>
    </row>
    <row r="417" ht="14.1" customHeight="1" spans="1:13">
      <c r="A417" s="19"/>
      <c r="B417" s="19"/>
      <c r="C417" s="19"/>
      <c r="D417" s="19"/>
      <c r="E417" s="19"/>
      <c r="F417" s="19"/>
      <c r="G417" s="19"/>
      <c r="H417" s="21"/>
      <c r="I417" s="21"/>
      <c r="J417" s="19"/>
      <c r="K417" s="19"/>
      <c r="L417" s="19"/>
      <c r="M417" s="19"/>
    </row>
    <row r="418" ht="14.1" customHeight="1" spans="1:13">
      <c r="A418" s="22">
        <v>273</v>
      </c>
      <c r="B418" s="19"/>
      <c r="C418" s="19" t="s">
        <v>363</v>
      </c>
      <c r="D418" s="19" t="s">
        <v>39</v>
      </c>
      <c r="E418" s="19"/>
      <c r="F418" s="24">
        <v>3038</v>
      </c>
      <c r="G418" s="24">
        <v>3600</v>
      </c>
      <c r="H418" s="23">
        <v>3975</v>
      </c>
      <c r="I418" s="21"/>
      <c r="J418" s="19"/>
      <c r="K418" s="24">
        <v>8053</v>
      </c>
      <c r="L418" s="24">
        <v>9340</v>
      </c>
      <c r="M418" s="19"/>
    </row>
    <row r="419" ht="14.1" customHeight="1" spans="1:13">
      <c r="A419" s="19"/>
      <c r="B419" s="19"/>
      <c r="C419" s="19"/>
      <c r="D419" s="19"/>
      <c r="E419" s="19"/>
      <c r="F419" s="19"/>
      <c r="G419" s="19"/>
      <c r="H419" s="21"/>
      <c r="I419" s="21"/>
      <c r="J419" s="19"/>
      <c r="K419" s="19"/>
      <c r="L419" s="19"/>
      <c r="M419" s="19"/>
    </row>
    <row r="420" ht="14.1" customHeight="1" spans="1:13">
      <c r="A420" s="22">
        <v>274</v>
      </c>
      <c r="B420" s="19"/>
      <c r="C420" s="19" t="s">
        <v>364</v>
      </c>
      <c r="D420" s="19" t="s">
        <v>39</v>
      </c>
      <c r="E420" s="24">
        <v>3200</v>
      </c>
      <c r="F420" s="24">
        <v>3488</v>
      </c>
      <c r="G420" s="24">
        <v>4556</v>
      </c>
      <c r="H420" s="23">
        <v>5081</v>
      </c>
      <c r="I420" s="23">
        <v>6735</v>
      </c>
      <c r="J420" s="24">
        <v>7656</v>
      </c>
      <c r="K420" s="24">
        <v>8900</v>
      </c>
      <c r="L420" s="24">
        <v>10025</v>
      </c>
      <c r="M420" s="19"/>
    </row>
    <row r="421" ht="14.1" customHeight="1" spans="1:13">
      <c r="A421" s="19"/>
      <c r="B421" s="19"/>
      <c r="C421" s="19"/>
      <c r="D421" s="19"/>
      <c r="E421" s="19"/>
      <c r="F421" s="19"/>
      <c r="G421" s="19"/>
      <c r="H421" s="21"/>
      <c r="I421" s="21"/>
      <c r="J421" s="19"/>
      <c r="K421" s="19"/>
      <c r="L421" s="19"/>
      <c r="M421" s="19"/>
    </row>
    <row r="422" ht="14.1" customHeight="1" spans="1:13">
      <c r="A422" s="19"/>
      <c r="B422" s="19"/>
      <c r="C422" s="20" t="s">
        <v>67</v>
      </c>
      <c r="D422" s="19"/>
      <c r="E422" s="19"/>
      <c r="F422" s="19"/>
      <c r="G422" s="19"/>
      <c r="H422" s="21"/>
      <c r="I422" s="21"/>
      <c r="J422" s="19"/>
      <c r="K422" s="19"/>
      <c r="L422" s="19"/>
      <c r="M422" s="19"/>
    </row>
    <row r="423" ht="14.1" customHeight="1" spans="1:13">
      <c r="A423" s="22">
        <v>275</v>
      </c>
      <c r="B423" s="19"/>
      <c r="C423" s="19" t="s">
        <v>365</v>
      </c>
      <c r="D423" s="19" t="s">
        <v>39</v>
      </c>
      <c r="E423" s="19"/>
      <c r="F423" s="19"/>
      <c r="G423" s="19"/>
      <c r="H423" s="21"/>
      <c r="I423" s="21"/>
      <c r="J423" s="19"/>
      <c r="K423" s="19"/>
      <c r="L423" s="19"/>
      <c r="M423" s="24">
        <v>15475</v>
      </c>
    </row>
    <row r="424" ht="14.1" customHeight="1" spans="1:13">
      <c r="A424" s="19"/>
      <c r="B424" s="19"/>
      <c r="C424" s="19"/>
      <c r="D424" s="19"/>
      <c r="E424" s="19"/>
      <c r="F424" s="19"/>
      <c r="G424" s="19"/>
      <c r="H424" s="21"/>
      <c r="I424" s="21"/>
      <c r="J424" s="19"/>
      <c r="K424" s="19"/>
      <c r="L424" s="19"/>
      <c r="M424" s="19"/>
    </row>
    <row r="425" ht="14.1" customHeight="1" spans="1:13">
      <c r="A425" s="22">
        <v>276</v>
      </c>
      <c r="B425" s="19"/>
      <c r="C425" s="19" t="s">
        <v>366</v>
      </c>
      <c r="D425" s="19" t="s">
        <v>39</v>
      </c>
      <c r="E425" s="24">
        <v>3875</v>
      </c>
      <c r="F425" s="24">
        <v>4117</v>
      </c>
      <c r="G425" s="24">
        <v>4419</v>
      </c>
      <c r="H425" s="23">
        <v>5058</v>
      </c>
      <c r="I425" s="23">
        <v>6075</v>
      </c>
      <c r="J425" s="24">
        <v>8213</v>
      </c>
      <c r="K425" s="24">
        <v>9363</v>
      </c>
      <c r="L425" s="19"/>
      <c r="M425" s="24">
        <v>18500</v>
      </c>
    </row>
    <row r="426" ht="14.1" customHeight="1" spans="1:13">
      <c r="A426" s="19"/>
      <c r="B426" s="19"/>
      <c r="C426" s="19"/>
      <c r="D426" s="19"/>
      <c r="E426" s="19"/>
      <c r="F426" s="19"/>
      <c r="G426" s="19"/>
      <c r="H426" s="21"/>
      <c r="I426" s="21"/>
      <c r="J426" s="19"/>
      <c r="K426" s="19"/>
      <c r="L426" s="19"/>
      <c r="M426" s="19"/>
    </row>
    <row r="427" ht="14.1" customHeight="1" spans="1:13">
      <c r="A427" s="22">
        <v>277</v>
      </c>
      <c r="B427" s="19"/>
      <c r="C427" s="19" t="s">
        <v>367</v>
      </c>
      <c r="D427" s="19" t="s">
        <v>39</v>
      </c>
      <c r="E427" s="19"/>
      <c r="F427" s="19"/>
      <c r="G427" s="24">
        <v>3500</v>
      </c>
      <c r="H427" s="23">
        <v>3825</v>
      </c>
      <c r="I427" s="23">
        <v>4450</v>
      </c>
      <c r="J427" s="24">
        <v>5175</v>
      </c>
      <c r="K427" s="24">
        <v>6575</v>
      </c>
      <c r="L427" s="24">
        <v>12275</v>
      </c>
      <c r="M427" s="19"/>
    </row>
    <row r="428" ht="14.1" customHeight="1" spans="1:13">
      <c r="A428" s="19"/>
      <c r="B428" s="19"/>
      <c r="C428" s="19"/>
      <c r="D428" s="19"/>
      <c r="E428" s="19"/>
      <c r="F428" s="19"/>
      <c r="G428" s="19"/>
      <c r="H428" s="21"/>
      <c r="I428" s="21"/>
      <c r="J428" s="19"/>
      <c r="K428" s="19"/>
      <c r="L428" s="19"/>
      <c r="M428" s="19"/>
    </row>
    <row r="429" ht="14.1" customHeight="1" spans="1:13">
      <c r="A429" s="22">
        <v>278</v>
      </c>
      <c r="B429" s="19"/>
      <c r="C429" s="19" t="s">
        <v>368</v>
      </c>
      <c r="D429" s="19" t="s">
        <v>39</v>
      </c>
      <c r="E429" s="19"/>
      <c r="F429" s="19"/>
      <c r="G429" s="19"/>
      <c r="H429" s="21"/>
      <c r="I429" s="21"/>
      <c r="J429" s="19"/>
      <c r="K429" s="24">
        <v>8875</v>
      </c>
      <c r="L429" s="24">
        <v>10088</v>
      </c>
      <c r="M429" s="24">
        <v>11601</v>
      </c>
    </row>
    <row r="430" ht="14.1" customHeight="1" spans="1:13">
      <c r="A430" s="19"/>
      <c r="B430" s="19"/>
      <c r="C430" s="19"/>
      <c r="D430" s="19"/>
      <c r="E430" s="19"/>
      <c r="F430" s="19"/>
      <c r="G430" s="19"/>
      <c r="H430" s="21"/>
      <c r="I430" s="21"/>
      <c r="J430" s="19"/>
      <c r="K430" s="19"/>
      <c r="L430" s="19"/>
      <c r="M430" s="19"/>
    </row>
    <row r="431" ht="14.1" customHeight="1" spans="1:13">
      <c r="A431" s="22">
        <v>279</v>
      </c>
      <c r="B431" s="19"/>
      <c r="C431" s="19" t="s">
        <v>369</v>
      </c>
      <c r="D431" s="19" t="s">
        <v>39</v>
      </c>
      <c r="E431" s="19"/>
      <c r="F431" s="19"/>
      <c r="G431" s="19"/>
      <c r="H431" s="23">
        <v>5017</v>
      </c>
      <c r="I431" s="23">
        <v>6406</v>
      </c>
      <c r="J431" s="24">
        <v>7150</v>
      </c>
      <c r="K431" s="24">
        <v>9070</v>
      </c>
      <c r="L431" s="24">
        <v>11690</v>
      </c>
      <c r="M431" s="19"/>
    </row>
    <row r="432" ht="14.1" customHeight="1" spans="1:13">
      <c r="A432" s="19"/>
      <c r="B432" s="19"/>
      <c r="C432" s="19"/>
      <c r="D432" s="19"/>
      <c r="E432" s="19"/>
      <c r="F432" s="19"/>
      <c r="G432" s="19"/>
      <c r="H432" s="21"/>
      <c r="I432" s="21"/>
      <c r="J432" s="19"/>
      <c r="K432" s="19"/>
      <c r="L432" s="19"/>
      <c r="M432" s="19"/>
    </row>
    <row r="433" ht="14.1" customHeight="1" spans="1:13">
      <c r="A433" s="22">
        <v>280</v>
      </c>
      <c r="B433" s="19"/>
      <c r="C433" s="19" t="s">
        <v>370</v>
      </c>
      <c r="D433" s="19" t="s">
        <v>39</v>
      </c>
      <c r="E433" s="19"/>
      <c r="F433" s="19"/>
      <c r="G433" s="19"/>
      <c r="H433" s="21"/>
      <c r="I433" s="21"/>
      <c r="J433" s="19"/>
      <c r="K433" s="19"/>
      <c r="L433" s="19"/>
      <c r="M433" s="24">
        <v>15750</v>
      </c>
    </row>
    <row r="434" ht="14.1" customHeight="1" spans="1:13">
      <c r="A434" s="19"/>
      <c r="B434" s="19"/>
      <c r="C434" s="19"/>
      <c r="D434" s="19"/>
      <c r="E434" s="19"/>
      <c r="F434" s="19"/>
      <c r="G434" s="19"/>
      <c r="H434" s="21"/>
      <c r="I434" s="21"/>
      <c r="J434" s="19"/>
      <c r="K434" s="19"/>
      <c r="L434" s="19"/>
      <c r="M434" s="19"/>
    </row>
    <row r="435" ht="14.1" customHeight="1" spans="1:13">
      <c r="A435" s="22">
        <v>281</v>
      </c>
      <c r="B435" s="19"/>
      <c r="C435" s="19" t="s">
        <v>371</v>
      </c>
      <c r="D435" s="19" t="s">
        <v>39</v>
      </c>
      <c r="E435" s="24">
        <v>3008</v>
      </c>
      <c r="F435" s="24">
        <v>3550</v>
      </c>
      <c r="G435" s="24">
        <v>4075</v>
      </c>
      <c r="H435" s="21"/>
      <c r="I435" s="21"/>
      <c r="J435" s="19"/>
      <c r="K435" s="19"/>
      <c r="L435" s="19"/>
      <c r="M435" s="19"/>
    </row>
    <row r="436" ht="14.1" customHeight="1" spans="1:13">
      <c r="A436" s="19"/>
      <c r="B436" s="19"/>
      <c r="C436" s="19"/>
      <c r="D436" s="19"/>
      <c r="E436" s="19"/>
      <c r="F436" s="19"/>
      <c r="G436" s="19"/>
      <c r="H436" s="21"/>
      <c r="I436" s="21"/>
      <c r="J436" s="19"/>
      <c r="K436" s="19"/>
      <c r="L436" s="19"/>
      <c r="M436" s="19"/>
    </row>
    <row r="437" ht="14.1" customHeight="1" spans="1:13">
      <c r="A437" s="22">
        <v>282</v>
      </c>
      <c r="B437" s="19"/>
      <c r="C437" s="19" t="s">
        <v>372</v>
      </c>
      <c r="D437" s="19" t="s">
        <v>39</v>
      </c>
      <c r="E437" s="19"/>
      <c r="F437" s="19"/>
      <c r="G437" s="19"/>
      <c r="H437" s="21"/>
      <c r="I437" s="21"/>
      <c r="J437" s="19"/>
      <c r="K437" s="19"/>
      <c r="L437" s="19"/>
      <c r="M437" s="24">
        <v>16125</v>
      </c>
    </row>
    <row r="438" ht="14.1" customHeight="1" spans="1:13">
      <c r="A438" s="19"/>
      <c r="B438" s="19"/>
      <c r="C438" s="19"/>
      <c r="D438" s="19"/>
      <c r="E438" s="19"/>
      <c r="F438" s="19"/>
      <c r="G438" s="19"/>
      <c r="H438" s="21"/>
      <c r="I438" s="21"/>
      <c r="J438" s="19"/>
      <c r="K438" s="19"/>
      <c r="L438" s="19"/>
      <c r="M438" s="19"/>
    </row>
    <row r="439" ht="14.1" customHeight="1" spans="1:13">
      <c r="A439" s="22">
        <v>283</v>
      </c>
      <c r="B439" s="19"/>
      <c r="C439" s="19" t="s">
        <v>373</v>
      </c>
      <c r="D439" s="19" t="s">
        <v>39</v>
      </c>
      <c r="E439" s="19"/>
      <c r="F439" s="24">
        <v>3888</v>
      </c>
      <c r="G439" s="24">
        <v>4475</v>
      </c>
      <c r="H439" s="23">
        <v>4950</v>
      </c>
      <c r="I439" s="23">
        <v>5825</v>
      </c>
      <c r="J439" s="24">
        <v>7100</v>
      </c>
      <c r="K439" s="24">
        <v>9256</v>
      </c>
      <c r="L439" s="24">
        <v>11692</v>
      </c>
      <c r="M439" s="19"/>
    </row>
    <row r="440" ht="14.1" customHeight="1" spans="1:13">
      <c r="A440" s="19"/>
      <c r="B440" s="19"/>
      <c r="C440" s="19"/>
      <c r="D440" s="19"/>
      <c r="E440" s="19"/>
      <c r="F440" s="19"/>
      <c r="G440" s="19"/>
      <c r="H440" s="21"/>
      <c r="I440" s="21"/>
      <c r="J440" s="19"/>
      <c r="K440" s="19"/>
      <c r="L440" s="19"/>
      <c r="M440" s="19"/>
    </row>
    <row r="441" ht="14.1" customHeight="1" spans="1:13">
      <c r="A441" s="22">
        <v>284</v>
      </c>
      <c r="B441" s="19"/>
      <c r="C441" s="19" t="s">
        <v>374</v>
      </c>
      <c r="D441" s="19" t="s">
        <v>39</v>
      </c>
      <c r="E441" s="24">
        <v>2925</v>
      </c>
      <c r="F441" s="19"/>
      <c r="G441" s="19"/>
      <c r="H441" s="21" t="s">
        <v>375</v>
      </c>
      <c r="I441" s="21"/>
      <c r="J441" s="19"/>
      <c r="K441" s="19"/>
      <c r="L441" s="19"/>
      <c r="M441" s="19"/>
    </row>
    <row r="442" ht="14.1" customHeight="1" spans="1:13">
      <c r="A442" s="19"/>
      <c r="B442" s="19"/>
      <c r="C442" s="19"/>
      <c r="D442" s="19"/>
      <c r="E442" s="19"/>
      <c r="F442" s="19"/>
      <c r="G442" s="19"/>
      <c r="H442" s="21"/>
      <c r="I442" s="21"/>
      <c r="J442" s="19"/>
      <c r="K442" s="19"/>
      <c r="L442" s="19"/>
      <c r="M442" s="19"/>
    </row>
    <row r="443" ht="14.1" customHeight="1" spans="1:13">
      <c r="A443" s="22">
        <v>285</v>
      </c>
      <c r="B443" s="19"/>
      <c r="C443" s="19" t="s">
        <v>376</v>
      </c>
      <c r="D443" s="19" t="s">
        <v>39</v>
      </c>
      <c r="E443" s="19"/>
      <c r="F443" s="19"/>
      <c r="G443" s="24">
        <v>3775</v>
      </c>
      <c r="H443" s="23">
        <v>4150</v>
      </c>
      <c r="I443" s="23">
        <v>5050</v>
      </c>
      <c r="J443" s="24">
        <v>5850</v>
      </c>
      <c r="K443" s="24">
        <v>7275</v>
      </c>
      <c r="L443" s="19"/>
      <c r="M443" s="19"/>
    </row>
    <row r="444" ht="14.1" customHeight="1" spans="1:13">
      <c r="A444" s="19"/>
      <c r="B444" s="19"/>
      <c r="C444" s="19"/>
      <c r="D444" s="19"/>
      <c r="E444" s="19"/>
      <c r="F444" s="19"/>
      <c r="G444" s="19"/>
      <c r="H444" s="21"/>
      <c r="I444" s="21"/>
      <c r="J444" s="19"/>
      <c r="K444" s="19"/>
      <c r="L444" s="19"/>
      <c r="M444" s="19"/>
    </row>
    <row r="445" ht="14.1" customHeight="1" spans="1:13">
      <c r="A445" s="22">
        <v>286</v>
      </c>
      <c r="B445" s="19"/>
      <c r="C445" s="19" t="s">
        <v>377</v>
      </c>
      <c r="D445" s="19" t="s">
        <v>39</v>
      </c>
      <c r="E445" s="19"/>
      <c r="F445" s="19"/>
      <c r="G445" s="19"/>
      <c r="H445" s="21"/>
      <c r="I445" s="21"/>
      <c r="J445" s="19"/>
      <c r="K445" s="19"/>
      <c r="L445" s="24">
        <v>11242</v>
      </c>
      <c r="M445" s="24">
        <v>12928</v>
      </c>
    </row>
    <row r="446" ht="14.1" customHeight="1" spans="1:13">
      <c r="A446" s="19"/>
      <c r="B446" s="19"/>
      <c r="C446" s="19"/>
      <c r="D446" s="19"/>
      <c r="E446" s="19"/>
      <c r="F446" s="19"/>
      <c r="G446" s="19"/>
      <c r="H446" s="21"/>
      <c r="I446" s="21"/>
      <c r="J446" s="19"/>
      <c r="K446" s="19"/>
      <c r="L446" s="19"/>
      <c r="M446" s="19"/>
    </row>
    <row r="447" ht="14.1" customHeight="1" spans="1:13">
      <c r="A447" s="22">
        <v>287</v>
      </c>
      <c r="B447" s="19"/>
      <c r="C447" s="19" t="s">
        <v>378</v>
      </c>
      <c r="D447" s="19" t="s">
        <v>39</v>
      </c>
      <c r="E447" s="24">
        <v>3579</v>
      </c>
      <c r="F447" s="24">
        <v>4021</v>
      </c>
      <c r="G447" s="24">
        <v>4556</v>
      </c>
      <c r="H447" s="23">
        <v>5275</v>
      </c>
      <c r="I447" s="23">
        <v>6395</v>
      </c>
      <c r="J447" s="24">
        <v>7835</v>
      </c>
      <c r="K447" s="24">
        <v>10158</v>
      </c>
      <c r="L447" s="24">
        <v>12875</v>
      </c>
      <c r="M447" s="19"/>
    </row>
    <row r="448" ht="14.1" customHeight="1" spans="1:13">
      <c r="A448" s="19"/>
      <c r="B448" s="19"/>
      <c r="C448" s="19"/>
      <c r="D448" s="19"/>
      <c r="E448" s="19"/>
      <c r="F448" s="19"/>
      <c r="G448" s="19"/>
      <c r="H448" s="21"/>
      <c r="I448" s="21"/>
      <c r="J448" s="19"/>
      <c r="K448" s="19"/>
      <c r="L448" s="19"/>
      <c r="M448" s="19"/>
    </row>
    <row r="449" ht="14.1" customHeight="1" spans="1:13">
      <c r="A449" s="22">
        <v>288</v>
      </c>
      <c r="B449" s="19"/>
      <c r="C449" s="19" t="s">
        <v>379</v>
      </c>
      <c r="D449" s="19" t="s">
        <v>39</v>
      </c>
      <c r="E449" s="24">
        <v>3200</v>
      </c>
      <c r="F449" s="19"/>
      <c r="G449" s="19"/>
      <c r="H449" s="21"/>
      <c r="I449" s="21"/>
      <c r="J449" s="19"/>
      <c r="K449" s="19"/>
      <c r="L449" s="19"/>
      <c r="M449" s="19"/>
    </row>
    <row r="450" ht="14.1" customHeight="1" spans="1:13">
      <c r="A450" s="19"/>
      <c r="B450" s="19"/>
      <c r="C450" s="19"/>
      <c r="D450" s="19"/>
      <c r="E450" s="19"/>
      <c r="F450" s="19"/>
      <c r="G450" s="19"/>
      <c r="H450" s="21"/>
      <c r="I450" s="21"/>
      <c r="J450" s="19"/>
      <c r="K450" s="19"/>
      <c r="L450" s="19"/>
      <c r="M450" s="19"/>
    </row>
    <row r="451" ht="14.1" customHeight="1" spans="1:13">
      <c r="A451" s="2"/>
      <c r="B451" s="2"/>
      <c r="C451" s="2" t="s">
        <v>380</v>
      </c>
      <c r="D451" s="2"/>
      <c r="E451" s="2"/>
      <c r="F451" s="2"/>
      <c r="G451" s="2"/>
      <c r="H451" s="4"/>
      <c r="I451" s="4"/>
      <c r="J451" s="2"/>
      <c r="K451" s="2"/>
      <c r="L451" s="2"/>
      <c r="M451" s="2"/>
    </row>
    <row r="452" ht="14.1" customHeight="1" spans="1:13">
      <c r="A452" s="6"/>
      <c r="B452" s="5"/>
      <c r="C452" s="5" t="s">
        <v>381</v>
      </c>
      <c r="D452" s="5"/>
      <c r="E452" s="6"/>
      <c r="F452" s="6"/>
      <c r="G452" s="6"/>
      <c r="H452" s="8"/>
      <c r="I452" s="8"/>
      <c r="J452" s="6"/>
      <c r="K452" s="6"/>
      <c r="L452" s="6"/>
      <c r="M452" s="6"/>
    </row>
    <row r="453" ht="14.1" customHeight="1" spans="1:13">
      <c r="A453" s="5"/>
      <c r="B453" s="5"/>
      <c r="C453" s="6"/>
      <c r="D453" s="5"/>
      <c r="E453" s="5"/>
      <c r="F453" s="5"/>
      <c r="G453" s="5"/>
      <c r="H453" s="11"/>
      <c r="I453" s="11"/>
      <c r="J453" s="5"/>
      <c r="K453" s="5"/>
      <c r="L453" s="5"/>
      <c r="M453" s="5"/>
    </row>
    <row r="454" ht="14.1" customHeight="1" spans="1:13">
      <c r="A454" s="6"/>
      <c r="B454" s="5"/>
      <c r="C454" s="6"/>
      <c r="D454" s="5"/>
      <c r="E454" s="6"/>
      <c r="F454" s="6"/>
      <c r="G454" s="6"/>
      <c r="H454" s="8"/>
      <c r="I454" s="8"/>
      <c r="J454" s="6"/>
      <c r="K454" s="6"/>
      <c r="L454" s="6"/>
      <c r="M454" s="6"/>
    </row>
    <row r="455" ht="14.1" customHeight="1" spans="1:13">
      <c r="A455" s="25">
        <v>289</v>
      </c>
      <c r="B455" s="14"/>
      <c r="C455" s="31"/>
      <c r="D455" s="14"/>
      <c r="E455" s="26">
        <v>3271</v>
      </c>
      <c r="F455" s="26">
        <v>3300</v>
      </c>
      <c r="G455" s="26">
        <v>3826</v>
      </c>
      <c r="H455" s="27">
        <v>4394</v>
      </c>
      <c r="I455" s="27">
        <v>5152</v>
      </c>
      <c r="J455" s="26">
        <v>6230</v>
      </c>
      <c r="K455" s="26">
        <v>7495</v>
      </c>
      <c r="L455" s="26">
        <v>8906</v>
      </c>
      <c r="M455" s="26">
        <v>11845</v>
      </c>
    </row>
    <row r="456" ht="14.1" customHeight="1" spans="1:13">
      <c r="A456" s="19"/>
      <c r="B456" s="19"/>
      <c r="C456" s="19"/>
      <c r="D456" s="19"/>
      <c r="E456" s="19"/>
      <c r="F456" s="19"/>
      <c r="G456" s="19"/>
      <c r="H456" s="21"/>
      <c r="I456" s="21"/>
      <c r="J456" s="19"/>
      <c r="K456" s="19"/>
      <c r="L456" s="19"/>
      <c r="M456" s="19"/>
    </row>
  </sheetData>
  <mergeCells count="3">
    <mergeCell ref="A1:A9"/>
    <mergeCell ref="B451:B455"/>
    <mergeCell ref="D451:D45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8"/>
  <sheetViews>
    <sheetView topLeftCell="A121" workbookViewId="0">
      <selection activeCell="F146" sqref="F146"/>
    </sheetView>
  </sheetViews>
  <sheetFormatPr defaultColWidth="11.4259259259259" defaultRowHeight="14.4"/>
  <cols>
    <col min="1" max="2" width="12.712962962963" customWidth="1"/>
    <col min="3" max="3" width="44.712962962963" customWidth="1"/>
    <col min="4" max="4" width="17.4259259259259" customWidth="1"/>
    <col min="5" max="7" width="12.712962962963" customWidth="1"/>
    <col min="8" max="9" width="12.712962962963" style="1" customWidth="1"/>
    <col min="10" max="13" width="12.712962962963" customWidth="1"/>
  </cols>
  <sheetData>
    <row r="1" ht="14.1" customHeight="1" spans="1:13">
      <c r="A1" s="2"/>
      <c r="B1" s="2"/>
      <c r="C1" s="28" t="s">
        <v>382</v>
      </c>
      <c r="D1" s="2"/>
      <c r="E1" s="2"/>
      <c r="F1" s="2"/>
      <c r="G1" s="2"/>
      <c r="H1" s="4"/>
      <c r="I1" s="4"/>
      <c r="J1" s="2"/>
      <c r="K1" s="2"/>
      <c r="L1" s="2"/>
      <c r="M1" s="2"/>
    </row>
    <row r="2" ht="14.1" customHeight="1" spans="1:13">
      <c r="A2" s="5"/>
      <c r="B2" s="6"/>
      <c r="C2" s="29"/>
      <c r="D2" s="6"/>
      <c r="E2" s="6"/>
      <c r="F2" s="6"/>
      <c r="G2" s="6"/>
      <c r="H2" s="8"/>
      <c r="I2" s="8"/>
      <c r="J2" s="6"/>
      <c r="K2" s="6"/>
      <c r="L2" s="6"/>
      <c r="M2" s="6"/>
    </row>
    <row r="3" ht="14.1" customHeight="1" spans="1:13">
      <c r="A3" s="5"/>
      <c r="B3" s="5"/>
      <c r="C3" s="29"/>
      <c r="D3" s="5"/>
      <c r="E3" s="5"/>
      <c r="F3" s="5"/>
      <c r="G3" s="5"/>
      <c r="H3" s="11"/>
      <c r="I3" s="11"/>
      <c r="J3" s="5"/>
      <c r="K3" s="5"/>
      <c r="L3" s="5"/>
      <c r="M3" s="5"/>
    </row>
    <row r="4" ht="14.1" customHeight="1" spans="1:13">
      <c r="A4" s="5"/>
      <c r="B4" s="6"/>
      <c r="C4" s="29"/>
      <c r="D4" s="6"/>
      <c r="E4" s="6"/>
      <c r="F4" s="6"/>
      <c r="G4" s="6"/>
      <c r="H4" s="8"/>
      <c r="I4" s="8"/>
      <c r="J4" s="6"/>
      <c r="K4" s="6"/>
      <c r="L4" s="6"/>
      <c r="M4" s="6"/>
    </row>
    <row r="5" ht="14.1" customHeight="1" spans="1:13">
      <c r="A5" s="5"/>
      <c r="B5" s="5"/>
      <c r="C5" s="29"/>
      <c r="D5" s="5"/>
      <c r="E5" s="5"/>
      <c r="F5" s="5"/>
      <c r="G5" s="5"/>
      <c r="H5" s="11"/>
      <c r="I5" s="11"/>
      <c r="J5" s="5"/>
      <c r="K5" s="5"/>
      <c r="L5" s="5"/>
      <c r="M5" s="5"/>
    </row>
    <row r="6" ht="14.1" customHeight="1" spans="1:13">
      <c r="A6" s="5"/>
      <c r="B6" s="6"/>
      <c r="C6" s="29"/>
      <c r="D6" s="6"/>
      <c r="E6" s="35">
        <v>2009</v>
      </c>
      <c r="F6" s="35">
        <v>2010</v>
      </c>
      <c r="G6" s="35">
        <v>2011</v>
      </c>
      <c r="H6" s="35">
        <v>2012</v>
      </c>
      <c r="I6" s="35">
        <v>2013</v>
      </c>
      <c r="J6" s="35">
        <v>2014</v>
      </c>
      <c r="K6" s="35">
        <v>2015</v>
      </c>
      <c r="L6" s="35">
        <v>2016</v>
      </c>
      <c r="M6" s="35">
        <v>2017</v>
      </c>
    </row>
    <row r="7" ht="28.5" customHeight="1" spans="1:13">
      <c r="A7" s="14"/>
      <c r="B7" s="15" t="s">
        <v>383</v>
      </c>
      <c r="C7" s="18"/>
      <c r="D7" s="34" t="s">
        <v>26</v>
      </c>
      <c r="E7" s="18" t="s">
        <v>27</v>
      </c>
      <c r="F7" s="18" t="s">
        <v>28</v>
      </c>
      <c r="G7" s="18" t="s">
        <v>29</v>
      </c>
      <c r="H7" s="18" t="s">
        <v>30</v>
      </c>
      <c r="I7" s="18" t="s">
        <v>31</v>
      </c>
      <c r="J7" s="18" t="s">
        <v>32</v>
      </c>
      <c r="K7" s="18" t="s">
        <v>33</v>
      </c>
      <c r="L7" s="18" t="s">
        <v>34</v>
      </c>
      <c r="M7" s="18" t="s">
        <v>35</v>
      </c>
    </row>
    <row r="8" ht="14.1" customHeight="1" spans="1:13">
      <c r="A8" s="19"/>
      <c r="B8" s="19"/>
      <c r="C8" s="20" t="s">
        <v>36</v>
      </c>
      <c r="D8" s="19"/>
      <c r="E8" s="19"/>
      <c r="F8" s="19"/>
      <c r="G8" s="19"/>
      <c r="H8" s="21"/>
      <c r="I8" s="21"/>
      <c r="J8" s="19"/>
      <c r="K8" s="19"/>
      <c r="L8" s="19"/>
      <c r="M8" s="19"/>
    </row>
    <row r="9" ht="14.1" customHeight="1" spans="1:13">
      <c r="A9" s="19"/>
      <c r="B9" s="19"/>
      <c r="C9" s="20" t="s">
        <v>158</v>
      </c>
      <c r="D9" s="19"/>
      <c r="E9" s="19"/>
      <c r="F9" s="19"/>
      <c r="G9" s="19"/>
      <c r="H9" s="21"/>
      <c r="I9" s="21"/>
      <c r="J9" s="19"/>
      <c r="K9" s="19"/>
      <c r="L9" s="19"/>
      <c r="M9" s="19"/>
    </row>
    <row r="10" ht="14.1" customHeight="1" spans="1:13">
      <c r="A10" s="22">
        <v>366</v>
      </c>
      <c r="B10" s="19"/>
      <c r="C10" s="19" t="s">
        <v>159</v>
      </c>
      <c r="D10" s="19" t="s">
        <v>39</v>
      </c>
      <c r="E10" s="19"/>
      <c r="F10" s="19"/>
      <c r="G10" s="19"/>
      <c r="H10" s="23">
        <v>5794</v>
      </c>
      <c r="I10" s="23">
        <v>6544</v>
      </c>
      <c r="J10" s="24">
        <v>7363</v>
      </c>
      <c r="K10" s="19"/>
      <c r="L10" s="19"/>
      <c r="M10" s="19"/>
    </row>
    <row r="11" ht="14.1" customHeight="1" spans="1:13">
      <c r="A11" s="19"/>
      <c r="B11" s="19"/>
      <c r="C11" s="19"/>
      <c r="D11" s="19"/>
      <c r="E11" s="19"/>
      <c r="F11" s="19"/>
      <c r="G11" s="19"/>
      <c r="H11" s="21"/>
      <c r="I11" s="21"/>
      <c r="J11" s="19"/>
      <c r="K11" s="19"/>
      <c r="L11" s="19"/>
      <c r="M11" s="19"/>
    </row>
    <row r="12" ht="14.1" customHeight="1" spans="1:13">
      <c r="A12" s="22">
        <v>367</v>
      </c>
      <c r="B12" s="19"/>
      <c r="C12" s="19" t="s">
        <v>384</v>
      </c>
      <c r="D12" s="19" t="s">
        <v>39</v>
      </c>
      <c r="E12" s="24">
        <v>4838</v>
      </c>
      <c r="F12" s="24">
        <v>5925</v>
      </c>
      <c r="G12" s="24">
        <v>6700</v>
      </c>
      <c r="H12" s="23">
        <v>7238</v>
      </c>
      <c r="I12" s="23">
        <v>8400</v>
      </c>
      <c r="J12" s="24">
        <v>9588</v>
      </c>
      <c r="K12" s="24">
        <v>10750</v>
      </c>
      <c r="L12" s="24">
        <v>16263</v>
      </c>
      <c r="M12" s="24">
        <v>18702</v>
      </c>
    </row>
    <row r="13" ht="14.1" customHeight="1" spans="1:13">
      <c r="A13" s="19"/>
      <c r="B13" s="19"/>
      <c r="C13" s="19"/>
      <c r="D13" s="19"/>
      <c r="E13" s="19"/>
      <c r="F13" s="19"/>
      <c r="G13" s="19"/>
      <c r="H13" s="21"/>
      <c r="I13" s="21"/>
      <c r="J13" s="19"/>
      <c r="K13" s="19"/>
      <c r="L13" s="19"/>
      <c r="M13" s="19"/>
    </row>
    <row r="14" ht="14.1" customHeight="1" spans="1:13">
      <c r="A14" s="22">
        <v>368</v>
      </c>
      <c r="B14" s="19"/>
      <c r="C14" s="19" t="s">
        <v>385</v>
      </c>
      <c r="D14" s="19" t="s">
        <v>39</v>
      </c>
      <c r="E14" s="24">
        <v>3825</v>
      </c>
      <c r="F14" s="24">
        <v>4550</v>
      </c>
      <c r="G14" s="24">
        <v>5438</v>
      </c>
      <c r="H14" s="23">
        <v>6013</v>
      </c>
      <c r="I14" s="23">
        <v>7119</v>
      </c>
      <c r="J14" s="24">
        <v>8006</v>
      </c>
      <c r="K14" s="24">
        <v>12463</v>
      </c>
      <c r="L14" s="24">
        <v>14938</v>
      </c>
      <c r="M14" s="24">
        <v>17179</v>
      </c>
    </row>
    <row r="15" ht="14.1" customHeight="1" spans="1:13">
      <c r="A15" s="19"/>
      <c r="B15" s="19"/>
      <c r="C15" s="19"/>
      <c r="D15" s="19"/>
      <c r="E15" s="19"/>
      <c r="F15" s="19"/>
      <c r="G15" s="19"/>
      <c r="H15" s="21"/>
      <c r="I15" s="21"/>
      <c r="J15" s="19"/>
      <c r="K15" s="19"/>
      <c r="L15" s="19"/>
      <c r="M15" s="19"/>
    </row>
    <row r="16" ht="14.1" customHeight="1" spans="1:13">
      <c r="A16" s="22">
        <v>369</v>
      </c>
      <c r="B16" s="19"/>
      <c r="C16" s="19" t="s">
        <v>386</v>
      </c>
      <c r="D16" s="19" t="s">
        <v>39</v>
      </c>
      <c r="E16" s="19"/>
      <c r="F16" s="19"/>
      <c r="G16" s="19"/>
      <c r="H16" s="21"/>
      <c r="I16" s="21"/>
      <c r="J16" s="19"/>
      <c r="K16" s="19"/>
      <c r="L16" s="19"/>
      <c r="M16" s="24">
        <v>17600</v>
      </c>
    </row>
    <row r="17" ht="14.1" customHeight="1" spans="1:13">
      <c r="A17" s="19"/>
      <c r="B17" s="19"/>
      <c r="C17" s="19"/>
      <c r="D17" s="19"/>
      <c r="E17" s="19"/>
      <c r="F17" s="19"/>
      <c r="G17" s="19"/>
      <c r="H17" s="21"/>
      <c r="I17" s="21"/>
      <c r="J17" s="19"/>
      <c r="K17" s="19"/>
      <c r="L17" s="19"/>
      <c r="M17" s="19"/>
    </row>
    <row r="18" ht="14.1" customHeight="1" spans="1:13">
      <c r="A18" s="19"/>
      <c r="B18" s="19"/>
      <c r="C18" s="20" t="s">
        <v>164</v>
      </c>
      <c r="D18" s="19"/>
      <c r="E18" s="19"/>
      <c r="F18" s="19"/>
      <c r="G18" s="19"/>
      <c r="H18" s="21"/>
      <c r="I18" s="21"/>
      <c r="J18" s="19"/>
      <c r="K18" s="19"/>
      <c r="L18" s="19"/>
      <c r="M18" s="19"/>
    </row>
    <row r="19" ht="14.1" customHeight="1" spans="1:13">
      <c r="A19" s="22">
        <v>370</v>
      </c>
      <c r="B19" s="19"/>
      <c r="C19" s="19" t="s">
        <v>169</v>
      </c>
      <c r="D19" s="19" t="s">
        <v>39</v>
      </c>
      <c r="E19" s="19"/>
      <c r="F19" s="19"/>
      <c r="G19" s="19"/>
      <c r="H19" s="21"/>
      <c r="I19" s="21"/>
      <c r="J19" s="19"/>
      <c r="K19" s="19"/>
      <c r="L19" s="24">
        <v>14900</v>
      </c>
      <c r="M19" s="19"/>
    </row>
    <row r="20" ht="14.1" customHeight="1" spans="1:13">
      <c r="A20" s="19"/>
      <c r="B20" s="19"/>
      <c r="C20" s="19"/>
      <c r="D20" s="19"/>
      <c r="E20" s="19"/>
      <c r="F20" s="19"/>
      <c r="G20" s="19"/>
      <c r="H20" s="21"/>
      <c r="I20" s="21"/>
      <c r="J20" s="19"/>
      <c r="K20" s="19"/>
      <c r="L20" s="19"/>
      <c r="M20" s="19"/>
    </row>
    <row r="21" ht="14.1" customHeight="1" spans="1:13">
      <c r="A21" s="22">
        <v>371</v>
      </c>
      <c r="B21" s="19"/>
      <c r="C21" s="19" t="s">
        <v>170</v>
      </c>
      <c r="D21" s="19" t="s">
        <v>39</v>
      </c>
      <c r="E21" s="19"/>
      <c r="F21" s="19"/>
      <c r="G21" s="19"/>
      <c r="H21" s="21"/>
      <c r="I21" s="21"/>
      <c r="J21" s="19"/>
      <c r="K21" s="19"/>
      <c r="L21" s="24">
        <v>16300</v>
      </c>
      <c r="M21" s="24">
        <v>18745</v>
      </c>
    </row>
    <row r="22" ht="14.1" customHeight="1" spans="1:13">
      <c r="A22" s="19"/>
      <c r="B22" s="19"/>
      <c r="C22" s="19"/>
      <c r="D22" s="19"/>
      <c r="E22" s="19"/>
      <c r="F22" s="19"/>
      <c r="G22" s="19"/>
      <c r="H22" s="21"/>
      <c r="I22" s="21"/>
      <c r="J22" s="19"/>
      <c r="K22" s="19"/>
      <c r="L22" s="19"/>
      <c r="M22" s="19"/>
    </row>
    <row r="23" ht="14.1" customHeight="1" spans="1:13">
      <c r="A23" s="22">
        <v>372</v>
      </c>
      <c r="B23" s="19"/>
      <c r="C23" s="19" t="s">
        <v>387</v>
      </c>
      <c r="D23" s="19" t="s">
        <v>39</v>
      </c>
      <c r="E23" s="19"/>
      <c r="F23" s="19"/>
      <c r="G23" s="24">
        <v>6275</v>
      </c>
      <c r="H23" s="23">
        <v>6925</v>
      </c>
      <c r="I23" s="23">
        <v>9263</v>
      </c>
      <c r="J23" s="24">
        <v>10792</v>
      </c>
      <c r="K23" s="24">
        <v>11100</v>
      </c>
      <c r="L23" s="24">
        <v>16563</v>
      </c>
      <c r="M23" s="24">
        <v>19047</v>
      </c>
    </row>
    <row r="24" ht="14.1" customHeight="1" spans="1:13">
      <c r="A24" s="19"/>
      <c r="B24" s="19"/>
      <c r="C24" s="19"/>
      <c r="D24" s="19"/>
      <c r="E24" s="19"/>
      <c r="F24" s="19"/>
      <c r="G24" s="19"/>
      <c r="H24" s="21"/>
      <c r="I24" s="21"/>
      <c r="J24" s="19"/>
      <c r="K24" s="19"/>
      <c r="L24" s="19"/>
      <c r="M24" s="19"/>
    </row>
    <row r="25" ht="14.1" customHeight="1" spans="1:13">
      <c r="A25" s="22">
        <v>373</v>
      </c>
      <c r="B25" s="19"/>
      <c r="C25" s="19" t="s">
        <v>388</v>
      </c>
      <c r="D25" s="19" t="s">
        <v>39</v>
      </c>
      <c r="E25" s="24">
        <v>3838</v>
      </c>
      <c r="F25" s="24">
        <v>4663</v>
      </c>
      <c r="G25" s="24">
        <v>6200</v>
      </c>
      <c r="H25" s="23">
        <v>8183</v>
      </c>
      <c r="I25" s="23">
        <v>9658</v>
      </c>
      <c r="J25" s="24">
        <v>11358</v>
      </c>
      <c r="K25" s="24">
        <v>16850</v>
      </c>
      <c r="L25" s="24">
        <v>20788</v>
      </c>
      <c r="M25" s="24">
        <v>23906</v>
      </c>
    </row>
    <row r="26" ht="14.1" customHeight="1" spans="1:13">
      <c r="A26" s="19"/>
      <c r="B26" s="19"/>
      <c r="C26" s="19"/>
      <c r="D26" s="19"/>
      <c r="E26" s="19"/>
      <c r="F26" s="19"/>
      <c r="G26" s="19"/>
      <c r="H26" s="21"/>
      <c r="I26" s="21"/>
      <c r="J26" s="19"/>
      <c r="K26" s="19"/>
      <c r="L26" s="19"/>
      <c r="M26" s="19"/>
    </row>
    <row r="27" ht="14.1" customHeight="1" spans="1:13">
      <c r="A27" s="22">
        <v>374</v>
      </c>
      <c r="B27" s="19"/>
      <c r="C27" s="19" t="s">
        <v>389</v>
      </c>
      <c r="D27" s="19" t="s">
        <v>39</v>
      </c>
      <c r="E27" s="19"/>
      <c r="F27" s="19"/>
      <c r="G27" s="19"/>
      <c r="H27" s="21"/>
      <c r="I27" s="21"/>
      <c r="J27" s="19"/>
      <c r="K27" s="19"/>
      <c r="L27" s="19"/>
      <c r="M27" s="24">
        <v>36125</v>
      </c>
    </row>
    <row r="28" ht="14.1" customHeight="1" spans="1:13">
      <c r="A28" s="19"/>
      <c r="B28" s="19"/>
      <c r="C28" s="19"/>
      <c r="D28" s="19"/>
      <c r="E28" s="19"/>
      <c r="F28" s="19"/>
      <c r="G28" s="19"/>
      <c r="H28" s="21"/>
      <c r="I28" s="21"/>
      <c r="J28" s="19"/>
      <c r="K28" s="19"/>
      <c r="L28" s="19"/>
      <c r="M28" s="19"/>
    </row>
    <row r="29" ht="14.1" customHeight="1" spans="1:13">
      <c r="A29" s="22">
        <v>375</v>
      </c>
      <c r="B29" s="19"/>
      <c r="C29" s="19" t="s">
        <v>390</v>
      </c>
      <c r="D29" s="19" t="s">
        <v>39</v>
      </c>
      <c r="E29" s="19"/>
      <c r="F29" s="19"/>
      <c r="G29" s="19"/>
      <c r="H29" s="21"/>
      <c r="I29" s="21"/>
      <c r="J29" s="19"/>
      <c r="K29" s="19"/>
      <c r="L29" s="24">
        <v>35800</v>
      </c>
      <c r="M29" s="19"/>
    </row>
    <row r="30" ht="14.1" customHeight="1" spans="1:13">
      <c r="A30" s="19"/>
      <c r="B30" s="19"/>
      <c r="C30" s="19"/>
      <c r="D30" s="19"/>
      <c r="E30" s="19"/>
      <c r="F30" s="19"/>
      <c r="G30" s="19"/>
      <c r="H30" s="21"/>
      <c r="I30" s="21"/>
      <c r="J30" s="19"/>
      <c r="K30" s="19"/>
      <c r="L30" s="19"/>
      <c r="M30" s="19"/>
    </row>
    <row r="31" ht="14.1" customHeight="1" spans="1:13">
      <c r="A31" s="22">
        <v>376</v>
      </c>
      <c r="B31" s="19"/>
      <c r="C31" s="19" t="s">
        <v>391</v>
      </c>
      <c r="D31" s="19" t="s">
        <v>39</v>
      </c>
      <c r="E31" s="19"/>
      <c r="F31" s="19"/>
      <c r="G31" s="19"/>
      <c r="H31" s="21"/>
      <c r="I31" s="21"/>
      <c r="J31" s="19"/>
      <c r="K31" s="24">
        <v>14692</v>
      </c>
      <c r="L31" s="24">
        <v>17880</v>
      </c>
      <c r="M31" s="19"/>
    </row>
    <row r="32" ht="14.1" customHeight="1" spans="1:13">
      <c r="A32" s="19"/>
      <c r="B32" s="19"/>
      <c r="C32" s="19"/>
      <c r="D32" s="19"/>
      <c r="E32" s="19"/>
      <c r="F32" s="19"/>
      <c r="G32" s="19"/>
      <c r="H32" s="21"/>
      <c r="I32" s="21"/>
      <c r="J32" s="19"/>
      <c r="K32" s="19"/>
      <c r="L32" s="19"/>
      <c r="M32" s="19"/>
    </row>
    <row r="33" ht="14.1" customHeight="1" spans="1:13">
      <c r="A33" s="22">
        <v>377</v>
      </c>
      <c r="B33" s="19"/>
      <c r="C33" s="19" t="s">
        <v>392</v>
      </c>
      <c r="D33" s="19" t="s">
        <v>39</v>
      </c>
      <c r="E33" s="19"/>
      <c r="F33" s="19"/>
      <c r="G33" s="19"/>
      <c r="H33" s="21"/>
      <c r="I33" s="21"/>
      <c r="J33" s="19"/>
      <c r="K33" s="19"/>
      <c r="L33" s="19"/>
      <c r="M33" s="24">
        <v>31025</v>
      </c>
    </row>
    <row r="34" ht="14.1" customHeight="1" spans="1:13">
      <c r="A34" s="19"/>
      <c r="B34" s="19"/>
      <c r="C34" s="19"/>
      <c r="D34" s="19"/>
      <c r="E34" s="19"/>
      <c r="F34" s="19"/>
      <c r="G34" s="19"/>
      <c r="H34" s="21"/>
      <c r="I34" s="21"/>
      <c r="J34" s="19"/>
      <c r="K34" s="19"/>
      <c r="L34" s="19"/>
      <c r="M34" s="19"/>
    </row>
    <row r="35" ht="14.1" customHeight="1" spans="1:13">
      <c r="A35" s="22">
        <v>378</v>
      </c>
      <c r="B35" s="19"/>
      <c r="C35" s="19" t="s">
        <v>393</v>
      </c>
      <c r="D35" s="19" t="s">
        <v>39</v>
      </c>
      <c r="E35" s="19"/>
      <c r="F35" s="19"/>
      <c r="G35" s="19"/>
      <c r="H35" s="21"/>
      <c r="I35" s="21"/>
      <c r="J35" s="19"/>
      <c r="K35" s="19"/>
      <c r="L35" s="19"/>
      <c r="M35" s="24">
        <v>34775</v>
      </c>
    </row>
    <row r="36" ht="14.1" customHeight="1" spans="1:13">
      <c r="A36" s="19"/>
      <c r="B36" s="19"/>
      <c r="C36" s="19"/>
      <c r="D36" s="19"/>
      <c r="E36" s="19"/>
      <c r="F36" s="19"/>
      <c r="G36" s="19"/>
      <c r="H36" s="21"/>
      <c r="I36" s="21"/>
      <c r="J36" s="19"/>
      <c r="K36" s="19"/>
      <c r="L36" s="19"/>
      <c r="M36" s="19"/>
    </row>
    <row r="37" ht="14.1" customHeight="1" spans="1:13">
      <c r="A37" s="22">
        <v>379</v>
      </c>
      <c r="B37" s="19"/>
      <c r="C37" s="19" t="s">
        <v>394</v>
      </c>
      <c r="D37" s="19" t="s">
        <v>39</v>
      </c>
      <c r="E37" s="19"/>
      <c r="F37" s="19"/>
      <c r="G37" s="19"/>
      <c r="H37" s="21"/>
      <c r="I37" s="21"/>
      <c r="J37" s="19"/>
      <c r="K37" s="24">
        <v>14950</v>
      </c>
      <c r="L37" s="24">
        <v>18150</v>
      </c>
      <c r="M37" s="19"/>
    </row>
    <row r="38" ht="14.1" customHeight="1" spans="1:13">
      <c r="A38" s="19"/>
      <c r="B38" s="19"/>
      <c r="C38" s="19"/>
      <c r="D38" s="19"/>
      <c r="E38" s="19"/>
      <c r="F38" s="19"/>
      <c r="G38" s="19"/>
      <c r="H38" s="21"/>
      <c r="I38" s="21"/>
      <c r="J38" s="19"/>
      <c r="K38" s="19"/>
      <c r="L38" s="19"/>
      <c r="M38" s="19"/>
    </row>
    <row r="39" ht="14.1" customHeight="1" spans="1:13">
      <c r="A39" s="19"/>
      <c r="B39" s="19"/>
      <c r="C39" s="20" t="s">
        <v>176</v>
      </c>
      <c r="D39" s="19"/>
      <c r="E39" s="19"/>
      <c r="F39" s="19"/>
      <c r="G39" s="19"/>
      <c r="H39" s="21"/>
      <c r="I39" s="21"/>
      <c r="J39" s="19"/>
      <c r="K39" s="19"/>
      <c r="L39" s="19"/>
      <c r="M39" s="19"/>
    </row>
    <row r="40" ht="14.1" customHeight="1" spans="1:13">
      <c r="A40" s="22">
        <v>380</v>
      </c>
      <c r="B40" s="19"/>
      <c r="C40" s="19" t="s">
        <v>178</v>
      </c>
      <c r="D40" s="19" t="s">
        <v>39</v>
      </c>
      <c r="E40" s="19"/>
      <c r="F40" s="19"/>
      <c r="G40" s="19"/>
      <c r="H40" s="21"/>
      <c r="I40" s="21"/>
      <c r="J40" s="19"/>
      <c r="K40" s="19"/>
      <c r="L40" s="19"/>
      <c r="M40" s="24">
        <v>38225</v>
      </c>
    </row>
    <row r="41" ht="14.1" customHeight="1" spans="1:13">
      <c r="A41" s="19"/>
      <c r="B41" s="19"/>
      <c r="C41" s="19"/>
      <c r="D41" s="19"/>
      <c r="E41" s="19"/>
      <c r="F41" s="19"/>
      <c r="G41" s="19"/>
      <c r="H41" s="21"/>
      <c r="I41" s="21"/>
      <c r="J41" s="19"/>
      <c r="K41" s="19"/>
      <c r="L41" s="19"/>
      <c r="M41" s="19"/>
    </row>
    <row r="42" ht="14.1" customHeight="1" spans="1:13">
      <c r="A42" s="22">
        <v>381</v>
      </c>
      <c r="B42" s="19"/>
      <c r="C42" s="19" t="s">
        <v>179</v>
      </c>
      <c r="D42" s="19" t="s">
        <v>39</v>
      </c>
      <c r="E42" s="24">
        <v>5588</v>
      </c>
      <c r="F42" s="24">
        <v>6225</v>
      </c>
      <c r="G42" s="24">
        <v>7194</v>
      </c>
      <c r="H42" s="23">
        <v>7930</v>
      </c>
      <c r="I42" s="23">
        <v>8705</v>
      </c>
      <c r="J42" s="24">
        <v>10300</v>
      </c>
      <c r="K42" s="24">
        <v>16425</v>
      </c>
      <c r="L42" s="24">
        <v>18500</v>
      </c>
      <c r="M42" s="24">
        <v>21275</v>
      </c>
    </row>
    <row r="43" ht="14.1" customHeight="1" spans="1:13">
      <c r="A43" s="19"/>
      <c r="B43" s="19"/>
      <c r="C43" s="19"/>
      <c r="D43" s="19"/>
      <c r="E43" s="19"/>
      <c r="F43" s="19"/>
      <c r="G43" s="19"/>
      <c r="H43" s="21"/>
      <c r="I43" s="21"/>
      <c r="J43" s="19"/>
      <c r="K43" s="19"/>
      <c r="L43" s="19"/>
      <c r="M43" s="19"/>
    </row>
    <row r="44" ht="14.1" customHeight="1" spans="1:13">
      <c r="A44" s="22">
        <v>382</v>
      </c>
      <c r="B44" s="19"/>
      <c r="C44" s="19" t="s">
        <v>395</v>
      </c>
      <c r="D44" s="19" t="s">
        <v>39</v>
      </c>
      <c r="E44" s="19"/>
      <c r="F44" s="19"/>
      <c r="G44" s="19"/>
      <c r="H44" s="21"/>
      <c r="I44" s="21"/>
      <c r="J44" s="19"/>
      <c r="K44" s="24">
        <v>23863</v>
      </c>
      <c r="L44" s="24">
        <v>28538</v>
      </c>
      <c r="M44" s="19"/>
    </row>
    <row r="45" ht="14.1" customHeight="1" spans="1:13">
      <c r="A45" s="19"/>
      <c r="B45" s="19"/>
      <c r="C45" s="19"/>
      <c r="D45" s="19"/>
      <c r="E45" s="19"/>
      <c r="F45" s="19"/>
      <c r="G45" s="19"/>
      <c r="H45" s="21"/>
      <c r="I45" s="21"/>
      <c r="J45" s="19"/>
      <c r="K45" s="19"/>
      <c r="L45" s="19"/>
      <c r="M45" s="19"/>
    </row>
    <row r="46" ht="14.1" customHeight="1" spans="1:13">
      <c r="A46" s="22">
        <v>383</v>
      </c>
      <c r="B46" s="19"/>
      <c r="C46" s="19" t="s">
        <v>396</v>
      </c>
      <c r="D46" s="19" t="s">
        <v>39</v>
      </c>
      <c r="E46" s="24">
        <v>5225</v>
      </c>
      <c r="F46" s="24">
        <v>6158</v>
      </c>
      <c r="G46" s="24">
        <v>7900</v>
      </c>
      <c r="H46" s="23">
        <v>9308</v>
      </c>
      <c r="I46" s="23">
        <v>14338</v>
      </c>
      <c r="J46" s="24">
        <v>19108</v>
      </c>
      <c r="K46" s="24">
        <v>22800</v>
      </c>
      <c r="L46" s="24">
        <v>26444</v>
      </c>
      <c r="M46" s="24">
        <v>30411</v>
      </c>
    </row>
    <row r="47" ht="14.1" customHeight="1" spans="1:13">
      <c r="A47" s="19"/>
      <c r="B47" s="19"/>
      <c r="C47" s="19"/>
      <c r="D47" s="19"/>
      <c r="E47" s="19"/>
      <c r="F47" s="19"/>
      <c r="G47" s="19"/>
      <c r="H47" s="21"/>
      <c r="I47" s="21"/>
      <c r="J47" s="19"/>
      <c r="K47" s="19"/>
      <c r="L47" s="19"/>
      <c r="M47" s="19"/>
    </row>
    <row r="48" ht="14.1" customHeight="1" spans="1:13">
      <c r="A48" s="22">
        <v>384</v>
      </c>
      <c r="B48" s="19"/>
      <c r="C48" s="19" t="s">
        <v>397</v>
      </c>
      <c r="D48" s="19" t="s">
        <v>39</v>
      </c>
      <c r="E48" s="19"/>
      <c r="F48" s="19"/>
      <c r="G48" s="19"/>
      <c r="H48" s="23">
        <v>14213</v>
      </c>
      <c r="I48" s="23">
        <v>15775</v>
      </c>
      <c r="J48" s="24">
        <v>17050</v>
      </c>
      <c r="K48" s="24">
        <v>19850</v>
      </c>
      <c r="L48" s="24">
        <v>23650</v>
      </c>
      <c r="M48" s="24">
        <v>27198</v>
      </c>
    </row>
    <row r="49" ht="14.1" customHeight="1" spans="1:13">
      <c r="A49" s="19"/>
      <c r="B49" s="19"/>
      <c r="C49" s="19"/>
      <c r="D49" s="19"/>
      <c r="E49" s="19"/>
      <c r="F49" s="19"/>
      <c r="G49" s="19"/>
      <c r="H49" s="21"/>
      <c r="I49" s="21"/>
      <c r="J49" s="19"/>
      <c r="K49" s="19"/>
      <c r="L49" s="19"/>
      <c r="M49" s="19"/>
    </row>
    <row r="50" ht="14.1" customHeight="1" spans="1:13">
      <c r="A50" s="22">
        <v>385</v>
      </c>
      <c r="B50" s="19"/>
      <c r="C50" s="19" t="s">
        <v>398</v>
      </c>
      <c r="D50" s="19" t="s">
        <v>39</v>
      </c>
      <c r="E50" s="19"/>
      <c r="F50" s="19"/>
      <c r="G50" s="24">
        <v>14125</v>
      </c>
      <c r="H50" s="23">
        <v>14950</v>
      </c>
      <c r="I50" s="23">
        <v>17225</v>
      </c>
      <c r="J50" s="24">
        <v>19450</v>
      </c>
      <c r="K50" s="19"/>
      <c r="L50" s="19"/>
      <c r="M50" s="19"/>
    </row>
    <row r="51" ht="14.1" customHeight="1" spans="1:13">
      <c r="A51" s="19"/>
      <c r="B51" s="19"/>
      <c r="C51" s="19"/>
      <c r="D51" s="19"/>
      <c r="E51" s="19"/>
      <c r="F51" s="19"/>
      <c r="G51" s="19"/>
      <c r="H51" s="21"/>
      <c r="I51" s="21"/>
      <c r="J51" s="19"/>
      <c r="K51" s="19"/>
      <c r="L51" s="19"/>
      <c r="M51" s="19"/>
    </row>
    <row r="52" ht="14.1" customHeight="1" spans="1:13">
      <c r="A52" s="22">
        <v>386</v>
      </c>
      <c r="B52" s="19"/>
      <c r="C52" s="19" t="s">
        <v>180</v>
      </c>
      <c r="D52" s="19" t="s">
        <v>39</v>
      </c>
      <c r="E52" s="19"/>
      <c r="F52" s="19"/>
      <c r="G52" s="19"/>
      <c r="H52" s="21"/>
      <c r="I52" s="21"/>
      <c r="J52" s="19"/>
      <c r="K52" s="19"/>
      <c r="L52" s="19"/>
      <c r="M52" s="24">
        <v>26625</v>
      </c>
    </row>
    <row r="53" ht="14.1" customHeight="1" spans="1:13">
      <c r="A53" s="19"/>
      <c r="B53" s="19"/>
      <c r="C53" s="19"/>
      <c r="D53" s="19"/>
      <c r="E53" s="19"/>
      <c r="F53" s="19"/>
      <c r="G53" s="19"/>
      <c r="H53" s="21"/>
      <c r="I53" s="21"/>
      <c r="J53" s="19"/>
      <c r="K53" s="19"/>
      <c r="L53" s="19"/>
      <c r="M53" s="19"/>
    </row>
    <row r="54" ht="14.1" customHeight="1" spans="1:13">
      <c r="A54" s="19"/>
      <c r="B54" s="19"/>
      <c r="C54" s="20" t="s">
        <v>181</v>
      </c>
      <c r="D54" s="19"/>
      <c r="E54" s="19"/>
      <c r="F54" s="19"/>
      <c r="G54" s="19"/>
      <c r="H54" s="21"/>
      <c r="I54" s="21"/>
      <c r="J54" s="19"/>
      <c r="K54" s="19"/>
      <c r="L54" s="19"/>
      <c r="M54" s="19"/>
    </row>
    <row r="55" ht="14.1" customHeight="1" spans="1:13">
      <c r="A55" s="22">
        <v>387</v>
      </c>
      <c r="B55" s="19"/>
      <c r="C55" s="19" t="s">
        <v>399</v>
      </c>
      <c r="D55" s="19" t="s">
        <v>39</v>
      </c>
      <c r="E55" s="24">
        <v>1700</v>
      </c>
      <c r="F55" s="24">
        <v>2563</v>
      </c>
      <c r="G55" s="24">
        <v>2900</v>
      </c>
      <c r="H55" s="23">
        <v>3138</v>
      </c>
      <c r="I55" s="23">
        <v>3738</v>
      </c>
      <c r="J55" s="24">
        <v>4213</v>
      </c>
      <c r="K55" s="24">
        <v>4808</v>
      </c>
      <c r="L55" s="24">
        <v>5875</v>
      </c>
      <c r="M55" s="19"/>
    </row>
    <row r="56" ht="14.1" customHeight="1" spans="1:13">
      <c r="A56" s="19"/>
      <c r="B56" s="19"/>
      <c r="C56" s="19"/>
      <c r="D56" s="19"/>
      <c r="E56" s="19"/>
      <c r="F56" s="19"/>
      <c r="G56" s="19"/>
      <c r="H56" s="21"/>
      <c r="I56" s="21"/>
      <c r="J56" s="19"/>
      <c r="K56" s="19"/>
      <c r="L56" s="19"/>
      <c r="M56" s="19"/>
    </row>
    <row r="57" ht="14.1" customHeight="1" spans="1:13">
      <c r="A57" s="22">
        <v>388</v>
      </c>
      <c r="B57" s="19"/>
      <c r="C57" s="19" t="s">
        <v>400</v>
      </c>
      <c r="D57" s="19" t="s">
        <v>39</v>
      </c>
      <c r="E57" s="19"/>
      <c r="F57" s="19"/>
      <c r="G57" s="19"/>
      <c r="H57" s="21"/>
      <c r="I57" s="21"/>
      <c r="J57" s="19"/>
      <c r="K57" s="19"/>
      <c r="L57" s="24">
        <v>8575</v>
      </c>
      <c r="M57" s="24">
        <v>9861</v>
      </c>
    </row>
    <row r="58" ht="14.1" customHeight="1" spans="1:13">
      <c r="A58" s="19"/>
      <c r="B58" s="19"/>
      <c r="C58" s="19"/>
      <c r="D58" s="19"/>
      <c r="E58" s="19"/>
      <c r="F58" s="19"/>
      <c r="G58" s="19"/>
      <c r="H58" s="21"/>
      <c r="I58" s="21"/>
      <c r="J58" s="19"/>
      <c r="K58" s="19"/>
      <c r="L58" s="19"/>
      <c r="M58" s="19"/>
    </row>
    <row r="59" ht="14.1" customHeight="1" spans="1:13">
      <c r="A59" s="22">
        <v>389</v>
      </c>
      <c r="B59" s="19"/>
      <c r="C59" s="19" t="s">
        <v>401</v>
      </c>
      <c r="D59" s="19" t="s">
        <v>39</v>
      </c>
      <c r="E59" s="24">
        <v>2350</v>
      </c>
      <c r="F59" s="24">
        <v>2675</v>
      </c>
      <c r="G59" s="24">
        <v>3700</v>
      </c>
      <c r="H59" s="23">
        <v>3988</v>
      </c>
      <c r="I59" s="23">
        <v>4775</v>
      </c>
      <c r="J59" s="24">
        <v>5638</v>
      </c>
      <c r="K59" s="24">
        <v>6763</v>
      </c>
      <c r="L59" s="24">
        <v>8150</v>
      </c>
      <c r="M59" s="19"/>
    </row>
    <row r="60" ht="14.1" customHeight="1" spans="1:13">
      <c r="A60" s="19"/>
      <c r="B60" s="19"/>
      <c r="C60" s="19"/>
      <c r="D60" s="19"/>
      <c r="E60" s="19"/>
      <c r="F60" s="19"/>
      <c r="G60" s="19"/>
      <c r="H60" s="21"/>
      <c r="I60" s="21"/>
      <c r="J60" s="19"/>
      <c r="K60" s="19"/>
      <c r="L60" s="19"/>
      <c r="M60" s="19"/>
    </row>
    <row r="61" ht="14.1" customHeight="1" spans="1:13">
      <c r="A61" s="22">
        <v>390</v>
      </c>
      <c r="B61" s="19"/>
      <c r="C61" s="19" t="s">
        <v>402</v>
      </c>
      <c r="D61" s="19" t="s">
        <v>39</v>
      </c>
      <c r="E61" s="19"/>
      <c r="F61" s="19"/>
      <c r="G61" s="19"/>
      <c r="H61" s="21"/>
      <c r="I61" s="21"/>
      <c r="J61" s="19"/>
      <c r="K61" s="19"/>
      <c r="L61" s="19"/>
      <c r="M61" s="24">
        <v>13392</v>
      </c>
    </row>
    <row r="62" ht="14.1" customHeight="1" spans="1:13">
      <c r="A62" s="19"/>
      <c r="B62" s="19"/>
      <c r="C62" s="19"/>
      <c r="D62" s="19"/>
      <c r="E62" s="19"/>
      <c r="F62" s="19"/>
      <c r="G62" s="19"/>
      <c r="H62" s="21"/>
      <c r="I62" s="21"/>
      <c r="J62" s="19"/>
      <c r="K62" s="19"/>
      <c r="L62" s="19"/>
      <c r="M62" s="19"/>
    </row>
    <row r="63" ht="14.1" customHeight="1" spans="1:13">
      <c r="A63" s="22">
        <v>391</v>
      </c>
      <c r="B63" s="19"/>
      <c r="C63" s="19" t="s">
        <v>403</v>
      </c>
      <c r="D63" s="19" t="s">
        <v>39</v>
      </c>
      <c r="E63" s="19"/>
      <c r="F63" s="19"/>
      <c r="G63" s="19"/>
      <c r="H63" s="21"/>
      <c r="I63" s="21"/>
      <c r="J63" s="19"/>
      <c r="K63" s="19"/>
      <c r="L63" s="19"/>
      <c r="M63" s="24">
        <v>17100</v>
      </c>
    </row>
    <row r="64" ht="14.1" customHeight="1" spans="1:13">
      <c r="A64" s="19"/>
      <c r="B64" s="19"/>
      <c r="C64" s="19"/>
      <c r="D64" s="19"/>
      <c r="E64" s="19"/>
      <c r="F64" s="19"/>
      <c r="G64" s="19"/>
      <c r="H64" s="21"/>
      <c r="I64" s="21"/>
      <c r="J64" s="19"/>
      <c r="K64" s="19"/>
      <c r="L64" s="19"/>
      <c r="M64" s="19"/>
    </row>
    <row r="65" ht="14.1" customHeight="1" spans="1:13">
      <c r="A65" s="22">
        <v>392</v>
      </c>
      <c r="B65" s="19"/>
      <c r="C65" s="19" t="s">
        <v>404</v>
      </c>
      <c r="D65" s="19" t="s">
        <v>39</v>
      </c>
      <c r="E65" s="24">
        <v>2850</v>
      </c>
      <c r="F65" s="24">
        <v>3300</v>
      </c>
      <c r="G65" s="24">
        <v>4000</v>
      </c>
      <c r="H65" s="23">
        <v>4363</v>
      </c>
      <c r="I65" s="23">
        <v>5288</v>
      </c>
      <c r="J65" s="24">
        <v>6438</v>
      </c>
      <c r="K65" s="24">
        <v>8213</v>
      </c>
      <c r="L65" s="24">
        <v>10563</v>
      </c>
      <c r="M65" s="19"/>
    </row>
    <row r="66" ht="14.1" customHeight="1" spans="1:13">
      <c r="A66" s="19"/>
      <c r="B66" s="19"/>
      <c r="C66" s="19"/>
      <c r="D66" s="19"/>
      <c r="E66" s="19"/>
      <c r="F66" s="19"/>
      <c r="G66" s="19"/>
      <c r="H66" s="21"/>
      <c r="I66" s="21"/>
      <c r="J66" s="19"/>
      <c r="K66" s="19"/>
      <c r="L66" s="19"/>
      <c r="M66" s="19"/>
    </row>
    <row r="67" ht="14.1" customHeight="1" spans="1:13">
      <c r="A67" s="22">
        <v>393</v>
      </c>
      <c r="B67" s="19"/>
      <c r="C67" s="19" t="s">
        <v>405</v>
      </c>
      <c r="D67" s="19" t="s">
        <v>39</v>
      </c>
      <c r="E67" s="24">
        <v>2725</v>
      </c>
      <c r="F67" s="24">
        <v>3013</v>
      </c>
      <c r="G67" s="24">
        <v>3450</v>
      </c>
      <c r="H67" s="23">
        <v>3663</v>
      </c>
      <c r="I67" s="23">
        <v>4463</v>
      </c>
      <c r="J67" s="24">
        <v>5100</v>
      </c>
      <c r="K67" s="24">
        <v>6363</v>
      </c>
      <c r="L67" s="19"/>
      <c r="M67" s="19"/>
    </row>
    <row r="68" ht="14.1" customHeight="1" spans="1:13">
      <c r="A68" s="19"/>
      <c r="B68" s="19"/>
      <c r="C68" s="19"/>
      <c r="D68" s="19"/>
      <c r="E68" s="19"/>
      <c r="F68" s="19"/>
      <c r="G68" s="19"/>
      <c r="H68" s="21"/>
      <c r="I68" s="21"/>
      <c r="J68" s="19"/>
      <c r="K68" s="19"/>
      <c r="L68" s="19"/>
      <c r="M68" s="19"/>
    </row>
    <row r="69" ht="14.1" customHeight="1" spans="1:13">
      <c r="A69" s="22">
        <v>394</v>
      </c>
      <c r="B69" s="19"/>
      <c r="C69" s="19" t="s">
        <v>406</v>
      </c>
      <c r="D69" s="19" t="s">
        <v>39</v>
      </c>
      <c r="E69" s="24">
        <v>2525</v>
      </c>
      <c r="F69" s="24">
        <v>3175</v>
      </c>
      <c r="G69" s="19"/>
      <c r="H69" s="21"/>
      <c r="I69" s="21"/>
      <c r="J69" s="19"/>
      <c r="K69" s="19"/>
      <c r="L69" s="19"/>
      <c r="M69" s="19"/>
    </row>
    <row r="70" ht="14.1" customHeight="1" spans="1:13">
      <c r="A70" s="19"/>
      <c r="B70" s="19"/>
      <c r="C70" s="19"/>
      <c r="D70" s="19"/>
      <c r="E70" s="19"/>
      <c r="F70" s="19"/>
      <c r="G70" s="19"/>
      <c r="H70" s="21"/>
      <c r="I70" s="21"/>
      <c r="J70" s="19"/>
      <c r="K70" s="19"/>
      <c r="L70" s="19"/>
      <c r="M70" s="19"/>
    </row>
    <row r="71" ht="14.1" customHeight="1" spans="1:13">
      <c r="A71" s="22">
        <v>395</v>
      </c>
      <c r="B71" s="19"/>
      <c r="C71" s="19" t="s">
        <v>407</v>
      </c>
      <c r="D71" s="19" t="s">
        <v>39</v>
      </c>
      <c r="E71" s="24">
        <v>1550</v>
      </c>
      <c r="F71" s="19"/>
      <c r="G71" s="19"/>
      <c r="H71" s="21"/>
      <c r="I71" s="21"/>
      <c r="J71" s="19"/>
      <c r="K71" s="19"/>
      <c r="L71" s="19"/>
      <c r="M71" s="19"/>
    </row>
    <row r="72" ht="14.1" customHeight="1" spans="1:13">
      <c r="A72" s="19"/>
      <c r="B72" s="19"/>
      <c r="C72" s="19"/>
      <c r="D72" s="19"/>
      <c r="E72" s="19"/>
      <c r="F72" s="19"/>
      <c r="G72" s="19"/>
      <c r="H72" s="21"/>
      <c r="I72" s="21"/>
      <c r="J72" s="19"/>
      <c r="K72" s="19"/>
      <c r="L72" s="19"/>
      <c r="M72" s="19"/>
    </row>
    <row r="73" ht="14.1" customHeight="1" spans="1:13">
      <c r="A73" s="19"/>
      <c r="B73" s="19"/>
      <c r="C73" s="20" t="s">
        <v>184</v>
      </c>
      <c r="D73" s="19"/>
      <c r="E73" s="19"/>
      <c r="F73" s="19"/>
      <c r="G73" s="19"/>
      <c r="H73" s="21"/>
      <c r="I73" s="21"/>
      <c r="J73" s="19"/>
      <c r="K73" s="19"/>
      <c r="L73" s="19"/>
      <c r="M73" s="19"/>
    </row>
    <row r="74" ht="14.1" customHeight="1" spans="1:13">
      <c r="A74" s="22">
        <v>396</v>
      </c>
      <c r="B74" s="19"/>
      <c r="C74" s="19" t="s">
        <v>185</v>
      </c>
      <c r="D74" s="19" t="s">
        <v>39</v>
      </c>
      <c r="E74" s="19"/>
      <c r="F74" s="19"/>
      <c r="G74" s="19"/>
      <c r="H74" s="21"/>
      <c r="I74" s="21"/>
      <c r="J74" s="24">
        <v>8350</v>
      </c>
      <c r="K74" s="24">
        <v>9825</v>
      </c>
      <c r="L74" s="24">
        <v>15642</v>
      </c>
      <c r="M74" s="24">
        <v>17988</v>
      </c>
    </row>
    <row r="75" ht="14.1" customHeight="1" spans="1:13">
      <c r="A75" s="19"/>
      <c r="B75" s="19"/>
      <c r="C75" s="19"/>
      <c r="D75" s="19"/>
      <c r="E75" s="19"/>
      <c r="F75" s="19"/>
      <c r="G75" s="19"/>
      <c r="H75" s="21"/>
      <c r="I75" s="21"/>
      <c r="J75" s="19"/>
      <c r="K75" s="19"/>
      <c r="L75" s="19"/>
      <c r="M75" s="19"/>
    </row>
    <row r="76" ht="14.1" customHeight="1" spans="1:13">
      <c r="A76" s="22">
        <v>397</v>
      </c>
      <c r="B76" s="19"/>
      <c r="C76" s="19" t="s">
        <v>408</v>
      </c>
      <c r="D76" s="19" t="s">
        <v>39</v>
      </c>
      <c r="E76" s="19"/>
      <c r="F76" s="19"/>
      <c r="G76" s="19"/>
      <c r="H76" s="21"/>
      <c r="I76" s="21"/>
      <c r="J76" s="19"/>
      <c r="K76" s="19"/>
      <c r="L76" s="24">
        <v>17525</v>
      </c>
      <c r="M76" s="24">
        <v>20154</v>
      </c>
    </row>
    <row r="77" ht="14.1" customHeight="1" spans="1:13">
      <c r="A77" s="19"/>
      <c r="B77" s="19"/>
      <c r="C77" s="19"/>
      <c r="D77" s="19"/>
      <c r="E77" s="19"/>
      <c r="F77" s="19"/>
      <c r="G77" s="19"/>
      <c r="H77" s="21"/>
      <c r="I77" s="21"/>
      <c r="J77" s="19"/>
      <c r="K77" s="19"/>
      <c r="L77" s="19"/>
      <c r="M77" s="19"/>
    </row>
    <row r="78" ht="14.1" customHeight="1" spans="1:13">
      <c r="A78" s="22">
        <v>398</v>
      </c>
      <c r="B78" s="19"/>
      <c r="C78" s="19" t="s">
        <v>409</v>
      </c>
      <c r="D78" s="19" t="s">
        <v>39</v>
      </c>
      <c r="E78" s="24">
        <v>2717</v>
      </c>
      <c r="F78" s="24">
        <v>2975</v>
      </c>
      <c r="G78" s="24">
        <v>4675</v>
      </c>
      <c r="H78" s="23">
        <v>4992</v>
      </c>
      <c r="I78" s="23">
        <v>5950</v>
      </c>
      <c r="J78" s="24">
        <v>6908</v>
      </c>
      <c r="K78" s="24">
        <v>8608</v>
      </c>
      <c r="L78" s="24">
        <v>10983</v>
      </c>
      <c r="M78" s="19"/>
    </row>
    <row r="79" ht="14.1" customHeight="1" spans="1:13">
      <c r="A79" s="19"/>
      <c r="B79" s="19"/>
      <c r="C79" s="19"/>
      <c r="D79" s="19"/>
      <c r="E79" s="19"/>
      <c r="F79" s="19"/>
      <c r="G79" s="19"/>
      <c r="H79" s="21"/>
      <c r="I79" s="21"/>
      <c r="J79" s="19"/>
      <c r="K79" s="19"/>
      <c r="L79" s="19"/>
      <c r="M79" s="19"/>
    </row>
    <row r="80" ht="14.1" customHeight="1" spans="1:13">
      <c r="A80" s="22">
        <v>399</v>
      </c>
      <c r="B80" s="19"/>
      <c r="C80" s="19" t="s">
        <v>410</v>
      </c>
      <c r="D80" s="19" t="s">
        <v>39</v>
      </c>
      <c r="E80" s="19"/>
      <c r="F80" s="19"/>
      <c r="G80" s="19"/>
      <c r="H80" s="21"/>
      <c r="I80" s="21"/>
      <c r="J80" s="19"/>
      <c r="K80" s="19"/>
      <c r="L80" s="19"/>
      <c r="M80" s="24">
        <v>17094</v>
      </c>
    </row>
    <row r="81" ht="14.1" customHeight="1" spans="1:13">
      <c r="A81" s="19"/>
      <c r="B81" s="19"/>
      <c r="C81" s="19"/>
      <c r="D81" s="19"/>
      <c r="E81" s="19"/>
      <c r="F81" s="19"/>
      <c r="G81" s="19"/>
      <c r="H81" s="21"/>
      <c r="I81" s="21"/>
      <c r="J81" s="19"/>
      <c r="K81" s="19"/>
      <c r="L81" s="19"/>
      <c r="M81" s="19"/>
    </row>
    <row r="82" ht="14.1" customHeight="1" spans="1:13">
      <c r="A82" s="22">
        <v>400</v>
      </c>
      <c r="B82" s="19"/>
      <c r="C82" s="19" t="s">
        <v>411</v>
      </c>
      <c r="D82" s="19" t="s">
        <v>39</v>
      </c>
      <c r="E82" s="24">
        <v>3350</v>
      </c>
      <c r="F82" s="24">
        <v>3713</v>
      </c>
      <c r="G82" s="24">
        <v>4163</v>
      </c>
      <c r="H82" s="23">
        <v>4588</v>
      </c>
      <c r="I82" s="23">
        <v>6000</v>
      </c>
      <c r="J82" s="19"/>
      <c r="K82" s="19"/>
      <c r="L82" s="19"/>
      <c r="M82" s="19"/>
    </row>
    <row r="83" ht="14.1" customHeight="1" spans="1:13">
      <c r="A83" s="19"/>
      <c r="B83" s="19"/>
      <c r="C83" s="19"/>
      <c r="D83" s="19"/>
      <c r="E83" s="19"/>
      <c r="F83" s="19"/>
      <c r="G83" s="19"/>
      <c r="H83" s="21"/>
      <c r="I83" s="21"/>
      <c r="J83" s="19"/>
      <c r="K83" s="19"/>
      <c r="L83" s="19"/>
      <c r="M83" s="19"/>
    </row>
    <row r="84" ht="14.1" customHeight="1" spans="1:13">
      <c r="A84" s="22">
        <v>401</v>
      </c>
      <c r="B84" s="19"/>
      <c r="C84" s="19" t="s">
        <v>412</v>
      </c>
      <c r="D84" s="19" t="s">
        <v>39</v>
      </c>
      <c r="E84" s="24">
        <v>2963</v>
      </c>
      <c r="F84" s="24">
        <v>3338</v>
      </c>
      <c r="G84" s="24">
        <v>3675</v>
      </c>
      <c r="H84" s="23">
        <v>3938</v>
      </c>
      <c r="I84" s="23">
        <v>4875</v>
      </c>
      <c r="J84" s="24">
        <v>5625</v>
      </c>
      <c r="K84" s="24">
        <v>6850</v>
      </c>
      <c r="L84" s="19"/>
      <c r="M84" s="19"/>
    </row>
    <row r="85" ht="14.1" customHeight="1" spans="1:13">
      <c r="A85" s="19"/>
      <c r="B85" s="19"/>
      <c r="C85" s="19"/>
      <c r="D85" s="19"/>
      <c r="E85" s="19"/>
      <c r="F85" s="19"/>
      <c r="G85" s="19"/>
      <c r="H85" s="21"/>
      <c r="I85" s="21"/>
      <c r="J85" s="19"/>
      <c r="K85" s="19"/>
      <c r="L85" s="19"/>
      <c r="M85" s="19"/>
    </row>
    <row r="86" ht="14.1" customHeight="1" spans="1:13">
      <c r="A86" s="22">
        <v>402</v>
      </c>
      <c r="B86" s="19"/>
      <c r="C86" s="19" t="s">
        <v>413</v>
      </c>
      <c r="D86" s="19" t="s">
        <v>39</v>
      </c>
      <c r="E86" s="19"/>
      <c r="F86" s="19"/>
      <c r="G86" s="19"/>
      <c r="H86" s="21"/>
      <c r="I86" s="21"/>
      <c r="J86" s="19"/>
      <c r="K86" s="19"/>
      <c r="L86" s="24">
        <v>12700</v>
      </c>
      <c r="M86" s="24">
        <v>14605</v>
      </c>
    </row>
    <row r="87" ht="14.1" customHeight="1" spans="1:13">
      <c r="A87" s="19"/>
      <c r="B87" s="19"/>
      <c r="C87" s="19"/>
      <c r="D87" s="19"/>
      <c r="E87" s="19"/>
      <c r="F87" s="19"/>
      <c r="G87" s="19"/>
      <c r="H87" s="21"/>
      <c r="I87" s="21"/>
      <c r="J87" s="19"/>
      <c r="K87" s="19"/>
      <c r="L87" s="19"/>
      <c r="M87" s="19"/>
    </row>
    <row r="88" ht="14.1" customHeight="1" spans="1:13">
      <c r="A88" s="22">
        <v>403</v>
      </c>
      <c r="B88" s="19"/>
      <c r="C88" s="19" t="s">
        <v>414</v>
      </c>
      <c r="D88" s="19" t="s">
        <v>39</v>
      </c>
      <c r="E88" s="19"/>
      <c r="F88" s="19"/>
      <c r="G88" s="19"/>
      <c r="H88" s="21"/>
      <c r="I88" s="21"/>
      <c r="J88" s="19"/>
      <c r="K88" s="19"/>
      <c r="L88" s="24">
        <v>16150</v>
      </c>
      <c r="M88" s="19"/>
    </row>
    <row r="89" ht="14.1" customHeight="1" spans="1:13">
      <c r="A89" s="19"/>
      <c r="B89" s="19"/>
      <c r="C89" s="19"/>
      <c r="D89" s="19"/>
      <c r="E89" s="19"/>
      <c r="F89" s="19"/>
      <c r="G89" s="19"/>
      <c r="H89" s="21"/>
      <c r="I89" s="21"/>
      <c r="J89" s="19"/>
      <c r="K89" s="19"/>
      <c r="L89" s="19"/>
      <c r="M89" s="19"/>
    </row>
    <row r="90" ht="14.1" customHeight="1" spans="1:13">
      <c r="A90" s="22">
        <v>404</v>
      </c>
      <c r="B90" s="19"/>
      <c r="C90" s="19" t="s">
        <v>415</v>
      </c>
      <c r="D90" s="19" t="s">
        <v>39</v>
      </c>
      <c r="E90" s="19"/>
      <c r="F90" s="19"/>
      <c r="G90" s="19"/>
      <c r="H90" s="21"/>
      <c r="I90" s="21"/>
      <c r="J90" s="19"/>
      <c r="K90" s="24">
        <v>19800</v>
      </c>
      <c r="L90" s="19"/>
      <c r="M90" s="19"/>
    </row>
    <row r="91" ht="14.1" customHeight="1" spans="1:13">
      <c r="A91" s="19"/>
      <c r="B91" s="19"/>
      <c r="C91" s="19"/>
      <c r="D91" s="19"/>
      <c r="E91" s="19"/>
      <c r="F91" s="19"/>
      <c r="G91" s="19"/>
      <c r="H91" s="21"/>
      <c r="I91" s="21"/>
      <c r="J91" s="19"/>
      <c r="K91" s="19"/>
      <c r="L91" s="19"/>
      <c r="M91" s="19"/>
    </row>
    <row r="92" ht="14.1" customHeight="1" spans="1:13">
      <c r="A92" s="19"/>
      <c r="B92" s="19"/>
      <c r="C92" s="20" t="s">
        <v>37</v>
      </c>
      <c r="D92" s="19"/>
      <c r="E92" s="19"/>
      <c r="F92" s="19"/>
      <c r="G92" s="19"/>
      <c r="H92" s="21"/>
      <c r="I92" s="21"/>
      <c r="J92" s="19"/>
      <c r="K92" s="19"/>
      <c r="L92" s="19"/>
      <c r="M92" s="19"/>
    </row>
    <row r="93" ht="14.1" customHeight="1" spans="1:13">
      <c r="A93" s="22">
        <v>405</v>
      </c>
      <c r="B93" s="19"/>
      <c r="C93" s="19" t="s">
        <v>416</v>
      </c>
      <c r="D93" s="19" t="s">
        <v>39</v>
      </c>
      <c r="E93" s="24">
        <v>3125</v>
      </c>
      <c r="F93" s="24">
        <v>3513</v>
      </c>
      <c r="G93" s="24">
        <v>3775</v>
      </c>
      <c r="H93" s="23">
        <v>4025</v>
      </c>
      <c r="I93" s="23">
        <v>4588</v>
      </c>
      <c r="J93" s="19"/>
      <c r="K93" s="19"/>
      <c r="L93" s="19"/>
      <c r="M93" s="24">
        <v>18030</v>
      </c>
    </row>
    <row r="94" ht="14.1" customHeight="1" spans="1:13">
      <c r="A94" s="19"/>
      <c r="B94" s="19"/>
      <c r="C94" s="19"/>
      <c r="D94" s="19"/>
      <c r="E94" s="19"/>
      <c r="F94" s="19"/>
      <c r="G94" s="19"/>
      <c r="H94" s="21"/>
      <c r="I94" s="21"/>
      <c r="J94" s="19"/>
      <c r="K94" s="19"/>
      <c r="L94" s="19"/>
      <c r="M94" s="19"/>
    </row>
    <row r="95" ht="14.1" customHeight="1" spans="1:13">
      <c r="A95" s="22">
        <v>406</v>
      </c>
      <c r="B95" s="19"/>
      <c r="C95" s="19" t="s">
        <v>417</v>
      </c>
      <c r="D95" s="19" t="s">
        <v>39</v>
      </c>
      <c r="E95" s="24">
        <v>5169</v>
      </c>
      <c r="F95" s="24">
        <v>5756</v>
      </c>
      <c r="G95" s="24">
        <v>6506</v>
      </c>
      <c r="H95" s="23">
        <v>7275</v>
      </c>
      <c r="I95" s="23">
        <v>8350</v>
      </c>
      <c r="J95" s="19"/>
      <c r="K95" s="19"/>
      <c r="L95" s="19"/>
      <c r="M95" s="24">
        <v>18125</v>
      </c>
    </row>
    <row r="96" ht="14.1" customHeight="1" spans="1:13">
      <c r="A96" s="19"/>
      <c r="B96" s="19"/>
      <c r="C96" s="19"/>
      <c r="D96" s="19"/>
      <c r="E96" s="19"/>
      <c r="F96" s="19"/>
      <c r="G96" s="19"/>
      <c r="H96" s="21"/>
      <c r="I96" s="21"/>
      <c r="J96" s="19"/>
      <c r="K96" s="19"/>
      <c r="L96" s="19"/>
      <c r="M96" s="19"/>
    </row>
    <row r="97" ht="14.1" customHeight="1" spans="1:13">
      <c r="A97" s="22">
        <v>407</v>
      </c>
      <c r="B97" s="19"/>
      <c r="C97" s="19" t="s">
        <v>418</v>
      </c>
      <c r="D97" s="19" t="s">
        <v>39</v>
      </c>
      <c r="E97" s="24">
        <v>11963</v>
      </c>
      <c r="F97" s="24">
        <v>12175</v>
      </c>
      <c r="G97" s="24">
        <v>13000</v>
      </c>
      <c r="H97" s="23">
        <v>14467</v>
      </c>
      <c r="I97" s="21"/>
      <c r="J97" s="19"/>
      <c r="K97" s="19"/>
      <c r="L97" s="19"/>
      <c r="M97" s="24">
        <v>32161</v>
      </c>
    </row>
    <row r="98" ht="14.1" customHeight="1" spans="1:13">
      <c r="A98" s="19"/>
      <c r="B98" s="19"/>
      <c r="C98" s="19"/>
      <c r="D98" s="19"/>
      <c r="E98" s="19"/>
      <c r="F98" s="19"/>
      <c r="G98" s="19"/>
      <c r="H98" s="21"/>
      <c r="I98" s="21"/>
      <c r="J98" s="19"/>
      <c r="K98" s="19"/>
      <c r="L98" s="19"/>
      <c r="M98" s="19"/>
    </row>
    <row r="99" ht="14.1" customHeight="1" spans="1:13">
      <c r="A99" s="22">
        <v>408</v>
      </c>
      <c r="B99" s="19"/>
      <c r="C99" s="19" t="s">
        <v>419</v>
      </c>
      <c r="D99" s="19" t="s">
        <v>39</v>
      </c>
      <c r="E99" s="19"/>
      <c r="F99" s="19"/>
      <c r="G99" s="24">
        <v>3500</v>
      </c>
      <c r="H99" s="23">
        <v>3763</v>
      </c>
      <c r="I99" s="23">
        <v>4425</v>
      </c>
      <c r="J99" s="24">
        <v>4950</v>
      </c>
      <c r="K99" s="24">
        <v>6292</v>
      </c>
      <c r="L99" s="24">
        <v>7467</v>
      </c>
      <c r="M99" s="24">
        <v>8587</v>
      </c>
    </row>
    <row r="100" ht="14.1" customHeight="1" spans="1:13">
      <c r="A100" s="19"/>
      <c r="B100" s="19"/>
      <c r="C100" s="19"/>
      <c r="D100" s="19"/>
      <c r="E100" s="19"/>
      <c r="F100" s="19"/>
      <c r="G100" s="19"/>
      <c r="H100" s="21"/>
      <c r="I100" s="21"/>
      <c r="J100" s="19"/>
      <c r="K100" s="19"/>
      <c r="L100" s="19"/>
      <c r="M100" s="19"/>
    </row>
    <row r="101" ht="14.1" customHeight="1" spans="1:13">
      <c r="A101" s="22">
        <v>409</v>
      </c>
      <c r="B101" s="19"/>
      <c r="C101" s="19" t="s">
        <v>420</v>
      </c>
      <c r="D101" s="19" t="s">
        <v>39</v>
      </c>
      <c r="E101" s="24">
        <v>2000</v>
      </c>
      <c r="F101" s="24">
        <v>2225</v>
      </c>
      <c r="G101" s="24">
        <v>2275</v>
      </c>
      <c r="H101" s="23">
        <v>2450</v>
      </c>
      <c r="I101" s="21"/>
      <c r="J101" s="19"/>
      <c r="K101" s="19"/>
      <c r="L101" s="19"/>
      <c r="M101" s="19"/>
    </row>
    <row r="102" ht="14.1" customHeight="1" spans="1:13">
      <c r="A102" s="19"/>
      <c r="B102" s="19"/>
      <c r="C102" s="19"/>
      <c r="D102" s="19"/>
      <c r="E102" s="19"/>
      <c r="F102" s="19"/>
      <c r="G102" s="19"/>
      <c r="H102" s="21"/>
      <c r="I102" s="21"/>
      <c r="J102" s="19"/>
      <c r="K102" s="19"/>
      <c r="L102" s="19"/>
      <c r="M102" s="19"/>
    </row>
    <row r="103" ht="14.1" customHeight="1" spans="1:13">
      <c r="A103" s="22">
        <v>410</v>
      </c>
      <c r="B103" s="19"/>
      <c r="C103" s="19" t="s">
        <v>421</v>
      </c>
      <c r="D103" s="19" t="s">
        <v>39</v>
      </c>
      <c r="E103" s="24">
        <v>2008</v>
      </c>
      <c r="F103" s="24">
        <v>2233</v>
      </c>
      <c r="G103" s="24">
        <v>2463</v>
      </c>
      <c r="H103" s="23">
        <v>2613</v>
      </c>
      <c r="I103" s="23">
        <v>3100</v>
      </c>
      <c r="J103" s="24">
        <v>3575</v>
      </c>
      <c r="K103" s="24">
        <v>5496</v>
      </c>
      <c r="L103" s="24">
        <v>6489</v>
      </c>
      <c r="M103" s="24">
        <v>7462</v>
      </c>
    </row>
    <row r="104" ht="14.1" customHeight="1" spans="1:13">
      <c r="A104" s="19"/>
      <c r="B104" s="19"/>
      <c r="C104" s="19"/>
      <c r="D104" s="19"/>
      <c r="E104" s="19"/>
      <c r="F104" s="19"/>
      <c r="G104" s="19"/>
      <c r="H104" s="21"/>
      <c r="I104" s="21"/>
      <c r="J104" s="19"/>
      <c r="K104" s="19"/>
      <c r="L104" s="19"/>
      <c r="M104" s="19"/>
    </row>
    <row r="105" ht="14.1" customHeight="1" spans="1:13">
      <c r="A105" s="22">
        <v>411</v>
      </c>
      <c r="B105" s="19"/>
      <c r="C105" s="19" t="s">
        <v>191</v>
      </c>
      <c r="D105" s="19" t="s">
        <v>39</v>
      </c>
      <c r="E105" s="19"/>
      <c r="F105" s="19"/>
      <c r="G105" s="19"/>
      <c r="H105" s="21"/>
      <c r="I105" s="21"/>
      <c r="J105" s="19"/>
      <c r="K105" s="19"/>
      <c r="L105" s="19"/>
      <c r="M105" s="24">
        <v>9915</v>
      </c>
    </row>
    <row r="106" ht="14.1" customHeight="1" spans="1:13">
      <c r="A106" s="19"/>
      <c r="B106" s="19"/>
      <c r="C106" s="19"/>
      <c r="D106" s="19"/>
      <c r="E106" s="19"/>
      <c r="F106" s="19"/>
      <c r="G106" s="19"/>
      <c r="H106" s="21"/>
      <c r="I106" s="21"/>
      <c r="J106" s="19"/>
      <c r="K106" s="19"/>
      <c r="L106" s="19"/>
      <c r="M106" s="19"/>
    </row>
    <row r="107" ht="14.1" customHeight="1" spans="1:13">
      <c r="A107" s="22">
        <v>412</v>
      </c>
      <c r="B107" s="19"/>
      <c r="C107" s="19" t="s">
        <v>422</v>
      </c>
      <c r="D107" s="19" t="s">
        <v>39</v>
      </c>
      <c r="E107" s="24">
        <v>2238</v>
      </c>
      <c r="F107" s="24">
        <v>2425</v>
      </c>
      <c r="G107" s="24">
        <v>3725</v>
      </c>
      <c r="H107" s="23">
        <v>4038</v>
      </c>
      <c r="I107" s="23">
        <v>4675</v>
      </c>
      <c r="J107" s="24">
        <v>5250</v>
      </c>
      <c r="K107" s="24">
        <v>6792</v>
      </c>
      <c r="L107" s="24">
        <v>7750</v>
      </c>
      <c r="M107" s="19"/>
    </row>
    <row r="108" ht="14.1" customHeight="1" spans="1:13">
      <c r="A108" s="19"/>
      <c r="B108" s="19"/>
      <c r="C108" s="19"/>
      <c r="D108" s="19"/>
      <c r="E108" s="19"/>
      <c r="F108" s="19"/>
      <c r="G108" s="19"/>
      <c r="H108" s="21"/>
      <c r="I108" s="21"/>
      <c r="J108" s="19"/>
      <c r="K108" s="19"/>
      <c r="L108" s="19"/>
      <c r="M108" s="19"/>
    </row>
    <row r="109" ht="14.1" customHeight="1" spans="1:13">
      <c r="A109" s="19"/>
      <c r="B109" s="19"/>
      <c r="C109" s="20" t="s">
        <v>193</v>
      </c>
      <c r="D109" s="19"/>
      <c r="E109" s="19"/>
      <c r="F109" s="19"/>
      <c r="G109" s="19"/>
      <c r="H109" s="21"/>
      <c r="I109" s="21"/>
      <c r="J109" s="19"/>
      <c r="K109" s="19"/>
      <c r="L109" s="19"/>
      <c r="M109" s="19"/>
    </row>
    <row r="110" ht="14.1" customHeight="1" spans="1:13">
      <c r="A110" s="22">
        <v>413</v>
      </c>
      <c r="B110" s="19"/>
      <c r="C110" s="19" t="s">
        <v>423</v>
      </c>
      <c r="D110" s="19" t="s">
        <v>39</v>
      </c>
      <c r="E110" s="19"/>
      <c r="F110" s="19"/>
      <c r="G110" s="19"/>
      <c r="H110" s="21"/>
      <c r="I110" s="21"/>
      <c r="J110" s="19"/>
      <c r="K110" s="19"/>
      <c r="L110" s="19"/>
      <c r="M110" s="24">
        <v>13483</v>
      </c>
    </row>
    <row r="111" ht="14.1" customHeight="1" spans="1:13">
      <c r="A111" s="19"/>
      <c r="B111" s="19"/>
      <c r="C111" s="19"/>
      <c r="D111" s="19"/>
      <c r="E111" s="19"/>
      <c r="F111" s="19"/>
      <c r="G111" s="19"/>
      <c r="H111" s="21"/>
      <c r="I111" s="21"/>
      <c r="J111" s="19"/>
      <c r="K111" s="19"/>
      <c r="L111" s="19"/>
      <c r="M111" s="19"/>
    </row>
    <row r="112" ht="14.1" customHeight="1" spans="1:13">
      <c r="A112" s="22">
        <v>414</v>
      </c>
      <c r="B112" s="19"/>
      <c r="C112" s="19" t="s">
        <v>194</v>
      </c>
      <c r="D112" s="19" t="s">
        <v>39</v>
      </c>
      <c r="E112" s="19"/>
      <c r="F112" s="19"/>
      <c r="G112" s="19"/>
      <c r="H112" s="21"/>
      <c r="I112" s="21"/>
      <c r="J112" s="19"/>
      <c r="K112" s="19"/>
      <c r="L112" s="24">
        <v>10675</v>
      </c>
      <c r="M112" s="24">
        <v>12276</v>
      </c>
    </row>
    <row r="113" ht="14.1" customHeight="1" spans="1:13">
      <c r="A113" s="19"/>
      <c r="B113" s="19"/>
      <c r="C113" s="19"/>
      <c r="D113" s="19"/>
      <c r="E113" s="19"/>
      <c r="F113" s="19"/>
      <c r="G113" s="19"/>
      <c r="H113" s="21"/>
      <c r="I113" s="21"/>
      <c r="J113" s="19"/>
      <c r="K113" s="19"/>
      <c r="L113" s="19"/>
      <c r="M113" s="19"/>
    </row>
    <row r="114" ht="14.1" customHeight="1" spans="1:13">
      <c r="A114" s="22">
        <v>415</v>
      </c>
      <c r="B114" s="19"/>
      <c r="C114" s="19" t="s">
        <v>424</v>
      </c>
      <c r="D114" s="19" t="s">
        <v>39</v>
      </c>
      <c r="E114" s="19"/>
      <c r="F114" s="19"/>
      <c r="G114" s="19"/>
      <c r="H114" s="21"/>
      <c r="I114" s="21"/>
      <c r="J114" s="19"/>
      <c r="K114" s="19"/>
      <c r="L114" s="24">
        <v>16100</v>
      </c>
      <c r="M114" s="24">
        <v>18515</v>
      </c>
    </row>
    <row r="115" ht="14.1" customHeight="1" spans="1:13">
      <c r="A115" s="19"/>
      <c r="B115" s="19"/>
      <c r="C115" s="19"/>
      <c r="D115" s="19"/>
      <c r="E115" s="19"/>
      <c r="F115" s="19"/>
      <c r="G115" s="19"/>
      <c r="H115" s="21"/>
      <c r="I115" s="21"/>
      <c r="J115" s="19"/>
      <c r="K115" s="19"/>
      <c r="L115" s="19"/>
      <c r="M115" s="19"/>
    </row>
    <row r="116" ht="14.1" customHeight="1" spans="1:13">
      <c r="A116" s="22">
        <v>416</v>
      </c>
      <c r="B116" s="19"/>
      <c r="C116" s="19" t="s">
        <v>425</v>
      </c>
      <c r="D116" s="19" t="s">
        <v>39</v>
      </c>
      <c r="E116" s="19"/>
      <c r="F116" s="24">
        <v>3050</v>
      </c>
      <c r="G116" s="24">
        <v>3525</v>
      </c>
      <c r="H116" s="23">
        <v>3750</v>
      </c>
      <c r="I116" s="23">
        <v>4313</v>
      </c>
      <c r="J116" s="24">
        <v>5163</v>
      </c>
      <c r="K116" s="24">
        <v>6008</v>
      </c>
      <c r="L116" s="19"/>
      <c r="M116" s="19"/>
    </row>
    <row r="117" ht="14.1" customHeight="1" spans="1:13">
      <c r="A117" s="19"/>
      <c r="B117" s="19"/>
      <c r="C117" s="19"/>
      <c r="D117" s="19"/>
      <c r="E117" s="19"/>
      <c r="F117" s="19"/>
      <c r="G117" s="19"/>
      <c r="H117" s="21"/>
      <c r="I117" s="21"/>
      <c r="J117" s="19"/>
      <c r="K117" s="19"/>
      <c r="L117" s="19"/>
      <c r="M117" s="19"/>
    </row>
    <row r="118" ht="14.1" customHeight="1" spans="1:13">
      <c r="A118" s="22">
        <v>417</v>
      </c>
      <c r="B118" s="19"/>
      <c r="C118" s="19" t="s">
        <v>196</v>
      </c>
      <c r="D118" s="19" t="s">
        <v>39</v>
      </c>
      <c r="E118" s="24">
        <v>1975</v>
      </c>
      <c r="F118" s="24">
        <v>2138</v>
      </c>
      <c r="G118" s="24">
        <v>2500</v>
      </c>
      <c r="H118" s="23">
        <v>2725</v>
      </c>
      <c r="I118" s="23">
        <v>3342</v>
      </c>
      <c r="J118" s="24">
        <v>3775</v>
      </c>
      <c r="K118" s="24">
        <v>4417</v>
      </c>
      <c r="L118" s="19"/>
      <c r="M118" s="19"/>
    </row>
    <row r="119" ht="14.1" customHeight="1" spans="1:13">
      <c r="A119" s="19"/>
      <c r="B119" s="19"/>
      <c r="C119" s="19"/>
      <c r="D119" s="19"/>
      <c r="E119" s="19"/>
      <c r="F119" s="19"/>
      <c r="G119" s="19"/>
      <c r="H119" s="21"/>
      <c r="I119" s="21"/>
      <c r="J119" s="19"/>
      <c r="K119" s="19"/>
      <c r="L119" s="19"/>
      <c r="M119" s="19"/>
    </row>
    <row r="120" ht="14.1" customHeight="1" spans="1:13">
      <c r="A120" s="22">
        <v>418</v>
      </c>
      <c r="B120" s="19"/>
      <c r="C120" s="19" t="s">
        <v>426</v>
      </c>
      <c r="D120" s="19" t="s">
        <v>39</v>
      </c>
      <c r="E120" s="19"/>
      <c r="F120" s="19"/>
      <c r="G120" s="19"/>
      <c r="H120" s="21"/>
      <c r="I120" s="21"/>
      <c r="J120" s="19"/>
      <c r="K120" s="24">
        <v>7875</v>
      </c>
      <c r="L120" s="24">
        <v>10667</v>
      </c>
      <c r="M120" s="19"/>
    </row>
    <row r="121" ht="14.1" customHeight="1" spans="1:13">
      <c r="A121" s="19"/>
      <c r="B121" s="19"/>
      <c r="C121" s="19"/>
      <c r="D121" s="19"/>
      <c r="E121" s="19"/>
      <c r="F121" s="19"/>
      <c r="G121" s="19"/>
      <c r="H121" s="21"/>
      <c r="I121" s="21"/>
      <c r="J121" s="19"/>
      <c r="K121" s="19"/>
      <c r="L121" s="19"/>
      <c r="M121" s="19"/>
    </row>
    <row r="122" ht="14.1" customHeight="1" spans="1:13">
      <c r="A122" s="22">
        <v>419</v>
      </c>
      <c r="B122" s="19"/>
      <c r="C122" s="19" t="s">
        <v>427</v>
      </c>
      <c r="D122" s="19" t="s">
        <v>39</v>
      </c>
      <c r="E122" s="19"/>
      <c r="F122" s="24">
        <v>2850</v>
      </c>
      <c r="G122" s="24">
        <v>3200</v>
      </c>
      <c r="H122" s="23">
        <v>3475</v>
      </c>
      <c r="I122" s="21"/>
      <c r="J122" s="19"/>
      <c r="K122" s="19"/>
      <c r="L122" s="19"/>
      <c r="M122" s="19"/>
    </row>
    <row r="123" ht="14.1" customHeight="1" spans="1:13">
      <c r="A123" s="19"/>
      <c r="B123" s="19"/>
      <c r="C123" s="19"/>
      <c r="D123" s="19"/>
      <c r="E123" s="19"/>
      <c r="F123" s="19"/>
      <c r="G123" s="19"/>
      <c r="H123" s="21"/>
      <c r="I123" s="21"/>
      <c r="J123" s="19"/>
      <c r="K123" s="19"/>
      <c r="L123" s="19"/>
      <c r="M123" s="19"/>
    </row>
    <row r="124" ht="14.1" customHeight="1" spans="1:13">
      <c r="A124" s="19"/>
      <c r="B124" s="19"/>
      <c r="C124" s="20" t="s">
        <v>204</v>
      </c>
      <c r="D124" s="19"/>
      <c r="E124" s="19"/>
      <c r="F124" s="19"/>
      <c r="G124" s="19"/>
      <c r="H124" s="21"/>
      <c r="I124" s="21"/>
      <c r="J124" s="19"/>
      <c r="K124" s="19"/>
      <c r="L124" s="19"/>
      <c r="M124" s="19"/>
    </row>
    <row r="125" ht="14.1" customHeight="1" spans="1:13">
      <c r="A125" s="22">
        <v>420</v>
      </c>
      <c r="B125" s="19"/>
      <c r="C125" s="19" t="s">
        <v>428</v>
      </c>
      <c r="D125" s="19" t="s">
        <v>39</v>
      </c>
      <c r="E125" s="19"/>
      <c r="F125" s="19"/>
      <c r="G125" s="19"/>
      <c r="H125" s="21"/>
      <c r="I125" s="21"/>
      <c r="J125" s="19"/>
      <c r="K125" s="19"/>
      <c r="L125" s="19"/>
      <c r="M125" s="24">
        <v>9625</v>
      </c>
    </row>
    <row r="126" ht="14.1" customHeight="1" spans="1:13">
      <c r="A126" s="19"/>
      <c r="B126" s="19"/>
      <c r="C126" s="19"/>
      <c r="D126" s="19"/>
      <c r="E126" s="19"/>
      <c r="F126" s="19"/>
      <c r="G126" s="19"/>
      <c r="H126" s="21"/>
      <c r="I126" s="21"/>
      <c r="J126" s="19"/>
      <c r="K126" s="19"/>
      <c r="L126" s="19"/>
      <c r="M126" s="19"/>
    </row>
    <row r="127" ht="14.1" customHeight="1" spans="1:13">
      <c r="A127" s="22">
        <v>421</v>
      </c>
      <c r="B127" s="19"/>
      <c r="C127" s="19" t="s">
        <v>429</v>
      </c>
      <c r="D127" s="19" t="s">
        <v>39</v>
      </c>
      <c r="E127" s="19"/>
      <c r="F127" s="19"/>
      <c r="G127" s="19"/>
      <c r="H127" s="21"/>
      <c r="I127" s="21"/>
      <c r="J127" s="19"/>
      <c r="K127" s="19"/>
      <c r="L127" s="19"/>
      <c r="M127" s="24">
        <v>14975</v>
      </c>
    </row>
    <row r="128" ht="14.1" customHeight="1" spans="1:13">
      <c r="A128" s="19"/>
      <c r="B128" s="19"/>
      <c r="C128" s="19"/>
      <c r="D128" s="19"/>
      <c r="E128" s="19"/>
      <c r="F128" s="19"/>
      <c r="G128" s="19"/>
      <c r="H128" s="21"/>
      <c r="I128" s="21"/>
      <c r="J128" s="19"/>
      <c r="K128" s="19"/>
      <c r="L128" s="19"/>
      <c r="M128" s="19"/>
    </row>
    <row r="129" ht="14.1" customHeight="1" spans="1:13">
      <c r="A129" s="22">
        <v>422</v>
      </c>
      <c r="B129" s="19"/>
      <c r="C129" s="19" t="s">
        <v>430</v>
      </c>
      <c r="D129" s="19" t="s">
        <v>39</v>
      </c>
      <c r="E129" s="19"/>
      <c r="F129" s="19"/>
      <c r="G129" s="19"/>
      <c r="H129" s="21"/>
      <c r="I129" s="21"/>
      <c r="J129" s="19"/>
      <c r="K129" s="19"/>
      <c r="L129" s="19"/>
      <c r="M129" s="24">
        <v>20275</v>
      </c>
    </row>
    <row r="130" ht="14.1" customHeight="1" spans="1:13">
      <c r="A130" s="19"/>
      <c r="B130" s="19"/>
      <c r="C130" s="19"/>
      <c r="D130" s="19"/>
      <c r="E130" s="19"/>
      <c r="F130" s="19"/>
      <c r="G130" s="19"/>
      <c r="H130" s="21"/>
      <c r="I130" s="21"/>
      <c r="J130" s="19"/>
      <c r="K130" s="19"/>
      <c r="L130" s="19"/>
      <c r="M130" s="19"/>
    </row>
    <row r="131" ht="14.1" customHeight="1" spans="1:13">
      <c r="A131" s="22">
        <v>423</v>
      </c>
      <c r="B131" s="19"/>
      <c r="C131" s="19" t="s">
        <v>209</v>
      </c>
      <c r="D131" s="19" t="s">
        <v>39</v>
      </c>
      <c r="E131" s="19"/>
      <c r="F131" s="19"/>
      <c r="G131" s="19"/>
      <c r="H131" s="21"/>
      <c r="I131" s="21"/>
      <c r="J131" s="19"/>
      <c r="K131" s="19"/>
      <c r="L131" s="19"/>
      <c r="M131" s="24">
        <v>16185</v>
      </c>
    </row>
    <row r="132" ht="14.1" customHeight="1" spans="1:13">
      <c r="A132" s="19"/>
      <c r="B132" s="19"/>
      <c r="C132" s="19"/>
      <c r="D132" s="19"/>
      <c r="E132" s="19"/>
      <c r="F132" s="19"/>
      <c r="G132" s="19"/>
      <c r="H132" s="21"/>
      <c r="I132" s="21"/>
      <c r="J132" s="19"/>
      <c r="K132" s="19"/>
      <c r="L132" s="19"/>
      <c r="M132" s="19"/>
    </row>
    <row r="133" ht="14.1" customHeight="1" spans="1:13">
      <c r="A133" s="22">
        <v>424</v>
      </c>
      <c r="B133" s="19"/>
      <c r="C133" s="19" t="s">
        <v>210</v>
      </c>
      <c r="D133" s="19" t="s">
        <v>39</v>
      </c>
      <c r="E133" s="24">
        <v>1813</v>
      </c>
      <c r="F133" s="24">
        <v>2013</v>
      </c>
      <c r="G133" s="24">
        <v>2367</v>
      </c>
      <c r="H133" s="21"/>
      <c r="I133" s="23">
        <v>3038</v>
      </c>
      <c r="J133" s="24">
        <v>3400</v>
      </c>
      <c r="K133" s="24">
        <v>3983</v>
      </c>
      <c r="L133" s="19"/>
      <c r="M133" s="19"/>
    </row>
    <row r="134" ht="14.1" customHeight="1" spans="1:13">
      <c r="A134" s="19"/>
      <c r="B134" s="19"/>
      <c r="C134" s="19"/>
      <c r="D134" s="19"/>
      <c r="E134" s="19"/>
      <c r="F134" s="19"/>
      <c r="G134" s="19"/>
      <c r="H134" s="21"/>
      <c r="I134" s="21"/>
      <c r="J134" s="19"/>
      <c r="K134" s="19"/>
      <c r="L134" s="19"/>
      <c r="M134" s="19"/>
    </row>
    <row r="135" ht="14.1" customHeight="1" spans="1:13">
      <c r="A135" s="22">
        <v>425</v>
      </c>
      <c r="B135" s="19"/>
      <c r="C135" s="19" t="s">
        <v>211</v>
      </c>
      <c r="D135" s="19" t="s">
        <v>39</v>
      </c>
      <c r="E135" s="19"/>
      <c r="F135" s="19"/>
      <c r="G135" s="19"/>
      <c r="H135" s="21"/>
      <c r="I135" s="21"/>
      <c r="J135" s="19"/>
      <c r="K135" s="19"/>
      <c r="L135" s="24">
        <v>8600</v>
      </c>
      <c r="M135" s="19"/>
    </row>
    <row r="136" ht="14.1" customHeight="1" spans="1:13">
      <c r="A136" s="19"/>
      <c r="B136" s="19"/>
      <c r="C136" s="19"/>
      <c r="D136" s="19"/>
      <c r="E136" s="19"/>
      <c r="F136" s="19"/>
      <c r="G136" s="19"/>
      <c r="H136" s="21"/>
      <c r="I136" s="21"/>
      <c r="J136" s="19"/>
      <c r="K136" s="19"/>
      <c r="L136" s="19"/>
      <c r="M136" s="19"/>
    </row>
    <row r="137" ht="14.1" customHeight="1" spans="1:13">
      <c r="A137" s="22">
        <v>426</v>
      </c>
      <c r="B137" s="19"/>
      <c r="C137" s="19" t="s">
        <v>431</v>
      </c>
      <c r="D137" s="19" t="s">
        <v>39</v>
      </c>
      <c r="E137" s="19"/>
      <c r="F137" s="19"/>
      <c r="G137" s="19"/>
      <c r="H137" s="21"/>
      <c r="I137" s="21"/>
      <c r="J137" s="19"/>
      <c r="K137" s="19"/>
      <c r="L137" s="24">
        <v>10763</v>
      </c>
      <c r="M137" s="19"/>
    </row>
    <row r="138" ht="14.1" customHeight="1" spans="1:13">
      <c r="A138" s="19"/>
      <c r="B138" s="19"/>
      <c r="C138" s="19"/>
      <c r="D138" s="19"/>
      <c r="E138" s="19"/>
      <c r="F138" s="19"/>
      <c r="G138" s="19"/>
      <c r="H138" s="21"/>
      <c r="I138" s="21"/>
      <c r="J138" s="19"/>
      <c r="K138" s="19"/>
      <c r="L138" s="19"/>
      <c r="M138" s="19"/>
    </row>
    <row r="139" ht="14.1" customHeight="1" spans="1:13">
      <c r="A139" s="19"/>
      <c r="B139" s="19"/>
      <c r="C139" s="20" t="s">
        <v>217</v>
      </c>
      <c r="D139" s="19"/>
      <c r="E139" s="19"/>
      <c r="F139" s="19"/>
      <c r="G139" s="19"/>
      <c r="H139" s="21"/>
      <c r="I139" s="21"/>
      <c r="J139" s="19"/>
      <c r="K139" s="19"/>
      <c r="L139" s="19"/>
      <c r="M139" s="19"/>
    </row>
    <row r="140" ht="14.1" customHeight="1" spans="1:13">
      <c r="A140" s="22">
        <v>427</v>
      </c>
      <c r="B140" s="19"/>
      <c r="C140" s="19" t="s">
        <v>432</v>
      </c>
      <c r="D140" s="19" t="s">
        <v>39</v>
      </c>
      <c r="E140" s="24">
        <v>2775</v>
      </c>
      <c r="F140" s="24">
        <v>3256</v>
      </c>
      <c r="G140" s="24">
        <v>3863</v>
      </c>
      <c r="H140" s="23">
        <v>4295</v>
      </c>
      <c r="I140" s="23">
        <v>4742</v>
      </c>
      <c r="J140" s="24">
        <v>5363</v>
      </c>
      <c r="K140" s="24">
        <v>6108</v>
      </c>
      <c r="L140" s="24">
        <v>7429</v>
      </c>
      <c r="M140" s="24">
        <v>8543</v>
      </c>
    </row>
    <row r="141" ht="14.1" customHeight="1" spans="1:13">
      <c r="A141" s="19"/>
      <c r="B141" s="19"/>
      <c r="C141" s="19"/>
      <c r="D141" s="19"/>
      <c r="E141" s="19"/>
      <c r="F141" s="19"/>
      <c r="G141" s="19"/>
      <c r="H141" s="21"/>
      <c r="I141" s="21"/>
      <c r="J141" s="19"/>
      <c r="K141" s="19"/>
      <c r="L141" s="19"/>
      <c r="M141" s="19"/>
    </row>
    <row r="142" ht="14.1" customHeight="1" spans="1:13">
      <c r="A142" s="22">
        <v>428</v>
      </c>
      <c r="B142" s="19"/>
      <c r="C142" s="19" t="s">
        <v>433</v>
      </c>
      <c r="D142" s="19" t="s">
        <v>39</v>
      </c>
      <c r="E142" s="19"/>
      <c r="F142" s="19"/>
      <c r="G142" s="19"/>
      <c r="H142" s="21"/>
      <c r="I142" s="21"/>
      <c r="J142" s="19"/>
      <c r="K142" s="19"/>
      <c r="L142" s="19"/>
      <c r="M142" s="24">
        <v>11710</v>
      </c>
    </row>
    <row r="143" ht="14.1" customHeight="1" spans="1:13">
      <c r="A143" s="19"/>
      <c r="B143" s="19"/>
      <c r="C143" s="19"/>
      <c r="D143" s="19"/>
      <c r="E143" s="19"/>
      <c r="F143" s="19"/>
      <c r="G143" s="19"/>
      <c r="H143" s="21"/>
      <c r="I143" s="21"/>
      <c r="J143" s="19"/>
      <c r="K143" s="19"/>
      <c r="L143" s="19"/>
      <c r="M143" s="19"/>
    </row>
    <row r="144" ht="14.1" customHeight="1" spans="1:13">
      <c r="A144" s="22">
        <v>429</v>
      </c>
      <c r="B144" s="19"/>
      <c r="C144" s="19" t="s">
        <v>434</v>
      </c>
      <c r="D144" s="19" t="s">
        <v>39</v>
      </c>
      <c r="E144" s="24">
        <v>2913</v>
      </c>
      <c r="F144" s="24">
        <v>3650</v>
      </c>
      <c r="G144" s="24">
        <v>3888</v>
      </c>
      <c r="H144" s="23">
        <v>4163</v>
      </c>
      <c r="I144" s="23">
        <v>4963</v>
      </c>
      <c r="J144" s="24">
        <v>5563</v>
      </c>
      <c r="K144" s="24">
        <v>6538</v>
      </c>
      <c r="L144" s="24">
        <v>9325</v>
      </c>
      <c r="M144" s="24">
        <v>10724</v>
      </c>
    </row>
    <row r="145" ht="14.1" customHeight="1" spans="1:13">
      <c r="A145" s="19"/>
      <c r="B145" s="19"/>
      <c r="C145" s="19"/>
      <c r="D145" s="19"/>
      <c r="E145" s="19"/>
      <c r="F145" s="19"/>
      <c r="G145" s="19"/>
      <c r="H145" s="21"/>
      <c r="I145" s="21"/>
      <c r="J145" s="19"/>
      <c r="K145" s="19"/>
      <c r="L145" s="19"/>
      <c r="M145" s="19"/>
    </row>
    <row r="146" ht="14.1" customHeight="1" spans="1:13">
      <c r="A146" s="22">
        <v>430</v>
      </c>
      <c r="B146" s="19"/>
      <c r="C146" s="19" t="s">
        <v>435</v>
      </c>
      <c r="D146" s="19" t="s">
        <v>39</v>
      </c>
      <c r="E146" s="24">
        <v>4550</v>
      </c>
      <c r="F146" s="24">
        <v>6238</v>
      </c>
      <c r="G146" s="24">
        <v>6627</v>
      </c>
      <c r="H146" s="23">
        <v>7385</v>
      </c>
      <c r="I146" s="23">
        <v>7913</v>
      </c>
      <c r="J146" s="24">
        <v>10960</v>
      </c>
      <c r="K146" s="24">
        <v>12420</v>
      </c>
      <c r="L146" s="19"/>
      <c r="M146" s="24">
        <v>26775</v>
      </c>
    </row>
    <row r="147" ht="14.1" customHeight="1" spans="1:13">
      <c r="A147" s="19"/>
      <c r="B147" s="19"/>
      <c r="C147" s="19"/>
      <c r="D147" s="19"/>
      <c r="E147" s="19"/>
      <c r="F147" s="19"/>
      <c r="G147" s="19"/>
      <c r="H147" s="21"/>
      <c r="I147" s="21"/>
      <c r="J147" s="19"/>
      <c r="K147" s="19"/>
      <c r="L147" s="19"/>
      <c r="M147" s="19"/>
    </row>
    <row r="148" ht="14.1" customHeight="1" spans="1:13">
      <c r="A148" s="22">
        <v>431</v>
      </c>
      <c r="B148" s="19"/>
      <c r="C148" s="19" t="s">
        <v>224</v>
      </c>
      <c r="D148" s="19" t="s">
        <v>39</v>
      </c>
      <c r="E148" s="19"/>
      <c r="F148" s="19"/>
      <c r="G148" s="19"/>
      <c r="H148" s="21"/>
      <c r="I148" s="21"/>
      <c r="J148" s="19"/>
      <c r="K148" s="19"/>
      <c r="L148" s="19"/>
      <c r="M148" s="24">
        <v>14758</v>
      </c>
    </row>
    <row r="149" ht="14.1" customHeight="1" spans="1:13">
      <c r="A149" s="19"/>
      <c r="B149" s="19"/>
      <c r="C149" s="19"/>
      <c r="D149" s="19"/>
      <c r="E149" s="19"/>
      <c r="F149" s="19"/>
      <c r="G149" s="19"/>
      <c r="H149" s="21"/>
      <c r="I149" s="21"/>
      <c r="J149" s="19"/>
      <c r="K149" s="19"/>
      <c r="L149" s="19"/>
      <c r="M149" s="19"/>
    </row>
    <row r="150" ht="14.1" customHeight="1" spans="1:13">
      <c r="A150" s="22">
        <v>432</v>
      </c>
      <c r="B150" s="19"/>
      <c r="C150" s="19" t="s">
        <v>436</v>
      </c>
      <c r="D150" s="19" t="s">
        <v>39</v>
      </c>
      <c r="E150" s="24">
        <v>2675</v>
      </c>
      <c r="F150" s="24">
        <v>2900</v>
      </c>
      <c r="G150" s="19"/>
      <c r="H150" s="21"/>
      <c r="I150" s="21"/>
      <c r="J150" s="19"/>
      <c r="K150" s="19"/>
      <c r="L150" s="19"/>
      <c r="M150" s="19"/>
    </row>
    <row r="151" ht="14.1" customHeight="1" spans="1:13">
      <c r="A151" s="19"/>
      <c r="B151" s="19"/>
      <c r="C151" s="19"/>
      <c r="D151" s="19"/>
      <c r="E151" s="19"/>
      <c r="F151" s="19"/>
      <c r="G151" s="19"/>
      <c r="H151" s="21"/>
      <c r="I151" s="21"/>
      <c r="J151" s="19"/>
      <c r="K151" s="19"/>
      <c r="L151" s="19"/>
      <c r="M151" s="19"/>
    </row>
    <row r="152" ht="14.1" customHeight="1" spans="1:13">
      <c r="A152" s="22">
        <v>433</v>
      </c>
      <c r="B152" s="19"/>
      <c r="C152" s="19" t="s">
        <v>437</v>
      </c>
      <c r="D152" s="19" t="s">
        <v>39</v>
      </c>
      <c r="E152" s="19"/>
      <c r="F152" s="19"/>
      <c r="G152" s="19"/>
      <c r="H152" s="21"/>
      <c r="I152" s="23">
        <v>11400</v>
      </c>
      <c r="J152" s="24">
        <v>13125</v>
      </c>
      <c r="K152" s="24">
        <v>14850</v>
      </c>
      <c r="L152" s="24">
        <v>17375</v>
      </c>
      <c r="M152" s="19"/>
    </row>
    <row r="153" ht="14.1" customHeight="1" spans="1:13">
      <c r="A153" s="19"/>
      <c r="B153" s="19"/>
      <c r="C153" s="19"/>
      <c r="D153" s="19"/>
      <c r="E153" s="19"/>
      <c r="F153" s="19"/>
      <c r="G153" s="19"/>
      <c r="H153" s="21"/>
      <c r="I153" s="21"/>
      <c r="J153" s="19"/>
      <c r="K153" s="19"/>
      <c r="L153" s="19"/>
      <c r="M153" s="19"/>
    </row>
    <row r="154" ht="14.1" customHeight="1" spans="1:13">
      <c r="A154" s="19"/>
      <c r="B154" s="19"/>
      <c r="C154" s="20" t="s">
        <v>42</v>
      </c>
      <c r="D154" s="19"/>
      <c r="E154" s="19"/>
      <c r="F154" s="19"/>
      <c r="G154" s="19"/>
      <c r="H154" s="21"/>
      <c r="I154" s="21"/>
      <c r="J154" s="19"/>
      <c r="K154" s="19"/>
      <c r="L154" s="19"/>
      <c r="M154" s="19"/>
    </row>
    <row r="155" ht="14.1" customHeight="1" spans="1:13">
      <c r="A155" s="22">
        <v>434</v>
      </c>
      <c r="B155" s="19"/>
      <c r="C155" s="19" t="s">
        <v>227</v>
      </c>
      <c r="D155" s="19" t="s">
        <v>39</v>
      </c>
      <c r="E155" s="19"/>
      <c r="F155" s="19"/>
      <c r="G155" s="19"/>
      <c r="H155" s="21"/>
      <c r="I155" s="21"/>
      <c r="J155" s="19"/>
      <c r="K155" s="19"/>
      <c r="L155" s="19"/>
      <c r="M155" s="24">
        <v>14025</v>
      </c>
    </row>
    <row r="156" ht="14.1" customHeight="1" spans="1:13">
      <c r="A156" s="19"/>
      <c r="B156" s="19"/>
      <c r="C156" s="19"/>
      <c r="D156" s="19"/>
      <c r="E156" s="19"/>
      <c r="F156" s="19"/>
      <c r="G156" s="19"/>
      <c r="H156" s="21"/>
      <c r="I156" s="21"/>
      <c r="J156" s="19"/>
      <c r="K156" s="19"/>
      <c r="L156" s="19"/>
      <c r="M156" s="19"/>
    </row>
    <row r="157" ht="14.1" customHeight="1" spans="1:13">
      <c r="A157" s="19"/>
      <c r="B157" s="19"/>
      <c r="C157" s="20" t="s">
        <v>46</v>
      </c>
      <c r="D157" s="19"/>
      <c r="E157" s="19"/>
      <c r="F157" s="19"/>
      <c r="G157" s="19"/>
      <c r="H157" s="21"/>
      <c r="I157" s="21"/>
      <c r="J157" s="19"/>
      <c r="K157" s="19"/>
      <c r="L157" s="19"/>
      <c r="M157" s="19"/>
    </row>
    <row r="158" ht="14.1" customHeight="1" spans="1:13">
      <c r="A158" s="22">
        <v>435</v>
      </c>
      <c r="B158" s="19"/>
      <c r="C158" s="19" t="s">
        <v>438</v>
      </c>
      <c r="D158" s="19" t="s">
        <v>39</v>
      </c>
      <c r="E158" s="19"/>
      <c r="F158" s="19"/>
      <c r="G158" s="19"/>
      <c r="H158" s="21"/>
      <c r="I158" s="21"/>
      <c r="J158" s="19"/>
      <c r="K158" s="19"/>
      <c r="L158" s="19"/>
      <c r="M158" s="24">
        <v>11875</v>
      </c>
    </row>
    <row r="159" ht="14.1" customHeight="1" spans="1:13">
      <c r="A159" s="19"/>
      <c r="B159" s="19"/>
      <c r="C159" s="19"/>
      <c r="D159" s="19"/>
      <c r="E159" s="19"/>
      <c r="F159" s="19"/>
      <c r="G159" s="19"/>
      <c r="H159" s="21"/>
      <c r="I159" s="21"/>
      <c r="J159" s="19"/>
      <c r="K159" s="19"/>
      <c r="L159" s="19"/>
      <c r="M159" s="19"/>
    </row>
    <row r="160" ht="14.1" customHeight="1" spans="1:13">
      <c r="A160" s="22">
        <v>436</v>
      </c>
      <c r="B160" s="19"/>
      <c r="C160" s="19" t="s">
        <v>439</v>
      </c>
      <c r="D160" s="19" t="s">
        <v>39</v>
      </c>
      <c r="E160" s="19"/>
      <c r="F160" s="19"/>
      <c r="G160" s="19"/>
      <c r="H160" s="21"/>
      <c r="I160" s="21"/>
      <c r="J160" s="19"/>
      <c r="K160" s="19"/>
      <c r="L160" s="19"/>
      <c r="M160" s="24">
        <v>25375</v>
      </c>
    </row>
    <row r="161" ht="14.1" customHeight="1" spans="1:13">
      <c r="A161" s="19"/>
      <c r="B161" s="19"/>
      <c r="C161" s="19"/>
      <c r="D161" s="19"/>
      <c r="E161" s="19"/>
      <c r="F161" s="19"/>
      <c r="G161" s="19"/>
      <c r="H161" s="21"/>
      <c r="I161" s="21"/>
      <c r="J161" s="19"/>
      <c r="K161" s="19"/>
      <c r="L161" s="19"/>
      <c r="M161" s="19"/>
    </row>
    <row r="162" ht="14.1" customHeight="1" spans="1:13">
      <c r="A162" s="22">
        <v>437</v>
      </c>
      <c r="B162" s="19"/>
      <c r="C162" s="19" t="s">
        <v>440</v>
      </c>
      <c r="D162" s="19" t="s">
        <v>39</v>
      </c>
      <c r="E162" s="19"/>
      <c r="F162" s="19"/>
      <c r="G162" s="19"/>
      <c r="H162" s="21"/>
      <c r="I162" s="21"/>
      <c r="J162" s="19"/>
      <c r="K162" s="19"/>
      <c r="L162" s="19"/>
      <c r="M162" s="24">
        <v>14813</v>
      </c>
    </row>
    <row r="163" ht="14.1" customHeight="1" spans="1:13">
      <c r="A163" s="19"/>
      <c r="B163" s="19"/>
      <c r="C163" s="19"/>
      <c r="D163" s="19"/>
      <c r="E163" s="19"/>
      <c r="F163" s="19"/>
      <c r="G163" s="19"/>
      <c r="H163" s="21"/>
      <c r="I163" s="21"/>
      <c r="J163" s="19"/>
      <c r="K163" s="19"/>
      <c r="L163" s="19"/>
      <c r="M163" s="19"/>
    </row>
    <row r="164" ht="14.1" customHeight="1" spans="1:13">
      <c r="A164" s="22">
        <v>438</v>
      </c>
      <c r="B164" s="19"/>
      <c r="C164" s="19" t="s">
        <v>441</v>
      </c>
      <c r="D164" s="19" t="s">
        <v>39</v>
      </c>
      <c r="E164" s="19"/>
      <c r="F164" s="19"/>
      <c r="G164" s="19"/>
      <c r="H164" s="21"/>
      <c r="I164" s="21"/>
      <c r="J164" s="19"/>
      <c r="K164" s="19"/>
      <c r="L164" s="19"/>
      <c r="M164" s="24">
        <v>17125</v>
      </c>
    </row>
    <row r="165" ht="14.1" customHeight="1" spans="1:13">
      <c r="A165" s="19"/>
      <c r="B165" s="19"/>
      <c r="C165" s="19"/>
      <c r="D165" s="19"/>
      <c r="E165" s="19"/>
      <c r="F165" s="19"/>
      <c r="G165" s="19"/>
      <c r="H165" s="21"/>
      <c r="I165" s="21"/>
      <c r="J165" s="19"/>
      <c r="K165" s="19"/>
      <c r="L165" s="19"/>
      <c r="M165" s="19"/>
    </row>
    <row r="166" ht="14.1" customHeight="1" spans="1:13">
      <c r="A166" s="22">
        <v>439</v>
      </c>
      <c r="B166" s="19"/>
      <c r="C166" s="19" t="s">
        <v>442</v>
      </c>
      <c r="D166" s="19" t="s">
        <v>39</v>
      </c>
      <c r="E166" s="19"/>
      <c r="F166" s="19"/>
      <c r="G166" s="19"/>
      <c r="H166" s="21"/>
      <c r="I166" s="23">
        <v>3300</v>
      </c>
      <c r="J166" s="24">
        <v>3950</v>
      </c>
      <c r="K166" s="24">
        <v>4925</v>
      </c>
      <c r="L166" s="24">
        <v>6050</v>
      </c>
      <c r="M166" s="19"/>
    </row>
    <row r="167" ht="14.1" customHeight="1" spans="1:13">
      <c r="A167" s="19"/>
      <c r="B167" s="19"/>
      <c r="C167" s="19"/>
      <c r="D167" s="19"/>
      <c r="E167" s="19"/>
      <c r="F167" s="19"/>
      <c r="G167" s="19"/>
      <c r="H167" s="21"/>
      <c r="I167" s="21"/>
      <c r="J167" s="19"/>
      <c r="K167" s="19"/>
      <c r="L167" s="19"/>
      <c r="M167" s="19"/>
    </row>
    <row r="168" ht="14.1" customHeight="1" spans="1:13">
      <c r="A168" s="19"/>
      <c r="B168" s="19"/>
      <c r="C168" s="20" t="s">
        <v>237</v>
      </c>
      <c r="D168" s="19"/>
      <c r="E168" s="19"/>
      <c r="F168" s="19"/>
      <c r="G168" s="19"/>
      <c r="H168" s="21"/>
      <c r="I168" s="21"/>
      <c r="J168" s="19"/>
      <c r="K168" s="19"/>
      <c r="L168" s="19"/>
      <c r="M168" s="19"/>
    </row>
    <row r="169" ht="14.1" customHeight="1" spans="1:13">
      <c r="A169" s="22">
        <v>440</v>
      </c>
      <c r="B169" s="19"/>
      <c r="C169" s="19" t="s">
        <v>443</v>
      </c>
      <c r="D169" s="19" t="s">
        <v>39</v>
      </c>
      <c r="E169" s="19"/>
      <c r="F169" s="19"/>
      <c r="G169" s="19"/>
      <c r="H169" s="21"/>
      <c r="I169" s="21"/>
      <c r="J169" s="24">
        <v>8925</v>
      </c>
      <c r="K169" s="24">
        <v>11338</v>
      </c>
      <c r="L169" s="24">
        <v>15467</v>
      </c>
      <c r="M169" s="19"/>
    </row>
    <row r="170" ht="14.1" customHeight="1" spans="1:13">
      <c r="A170" s="19"/>
      <c r="B170" s="19"/>
      <c r="C170" s="19"/>
      <c r="D170" s="19"/>
      <c r="E170" s="19"/>
      <c r="F170" s="19"/>
      <c r="G170" s="19"/>
      <c r="H170" s="21"/>
      <c r="I170" s="21"/>
      <c r="J170" s="19"/>
      <c r="K170" s="19"/>
      <c r="L170" s="19"/>
      <c r="M170" s="19"/>
    </row>
    <row r="171" ht="14.1" customHeight="1" spans="1:13">
      <c r="A171" s="22">
        <v>441</v>
      </c>
      <c r="B171" s="19"/>
      <c r="C171" s="19" t="s">
        <v>444</v>
      </c>
      <c r="D171" s="19" t="s">
        <v>39</v>
      </c>
      <c r="E171" s="19"/>
      <c r="F171" s="19"/>
      <c r="G171" s="19"/>
      <c r="H171" s="21"/>
      <c r="I171" s="21"/>
      <c r="J171" s="19"/>
      <c r="K171" s="19"/>
      <c r="L171" s="19"/>
      <c r="M171" s="24">
        <v>23438</v>
      </c>
    </row>
    <row r="172" ht="14.1" customHeight="1" spans="1:13">
      <c r="A172" s="19"/>
      <c r="B172" s="19"/>
      <c r="C172" s="19"/>
      <c r="D172" s="19"/>
      <c r="E172" s="19"/>
      <c r="F172" s="19"/>
      <c r="G172" s="19"/>
      <c r="H172" s="21"/>
      <c r="I172" s="21"/>
      <c r="J172" s="19"/>
      <c r="K172" s="19"/>
      <c r="L172" s="19"/>
      <c r="M172" s="19"/>
    </row>
    <row r="173" ht="14.1" customHeight="1" spans="1:13">
      <c r="A173" s="22">
        <v>442</v>
      </c>
      <c r="B173" s="19"/>
      <c r="C173" s="19" t="s">
        <v>445</v>
      </c>
      <c r="D173" s="19" t="s">
        <v>39</v>
      </c>
      <c r="E173" s="19"/>
      <c r="F173" s="19"/>
      <c r="G173" s="19"/>
      <c r="H173" s="21"/>
      <c r="I173" s="23">
        <v>5925</v>
      </c>
      <c r="J173" s="24">
        <v>7150</v>
      </c>
      <c r="K173" s="24">
        <v>9400</v>
      </c>
      <c r="L173" s="19"/>
      <c r="M173" s="19"/>
    </row>
    <row r="174" ht="14.1" customHeight="1" spans="1:13">
      <c r="A174" s="19"/>
      <c r="B174" s="19"/>
      <c r="C174" s="19"/>
      <c r="D174" s="19"/>
      <c r="E174" s="19"/>
      <c r="F174" s="19"/>
      <c r="G174" s="19"/>
      <c r="H174" s="21"/>
      <c r="I174" s="21"/>
      <c r="J174" s="19"/>
      <c r="K174" s="19"/>
      <c r="L174" s="19"/>
      <c r="M174" s="19"/>
    </row>
    <row r="175" ht="14.1" customHeight="1" spans="1:13">
      <c r="A175" s="22">
        <v>443</v>
      </c>
      <c r="B175" s="19"/>
      <c r="C175" s="19" t="s">
        <v>446</v>
      </c>
      <c r="D175" s="19" t="s">
        <v>39</v>
      </c>
      <c r="E175" s="19"/>
      <c r="F175" s="19"/>
      <c r="G175" s="19"/>
      <c r="H175" s="21"/>
      <c r="I175" s="21"/>
      <c r="J175" s="19"/>
      <c r="K175" s="19"/>
      <c r="L175" s="19"/>
      <c r="M175" s="24">
        <v>22563</v>
      </c>
    </row>
    <row r="176" ht="14.1" customHeight="1" spans="1:13">
      <c r="A176" s="19"/>
      <c r="B176" s="19"/>
      <c r="C176" s="19"/>
      <c r="D176" s="19"/>
      <c r="E176" s="19"/>
      <c r="F176" s="19"/>
      <c r="G176" s="19"/>
      <c r="H176" s="21"/>
      <c r="I176" s="21"/>
      <c r="J176" s="19"/>
      <c r="K176" s="19"/>
      <c r="L176" s="19"/>
      <c r="M176" s="19"/>
    </row>
    <row r="177" ht="14.1" customHeight="1" spans="1:13">
      <c r="A177" s="22">
        <v>444</v>
      </c>
      <c r="B177" s="19"/>
      <c r="C177" s="19" t="s">
        <v>447</v>
      </c>
      <c r="D177" s="19" t="s">
        <v>39</v>
      </c>
      <c r="E177" s="19"/>
      <c r="F177" s="19"/>
      <c r="G177" s="19"/>
      <c r="H177" s="21"/>
      <c r="I177" s="21"/>
      <c r="J177" s="24">
        <v>9125</v>
      </c>
      <c r="K177" s="24">
        <v>11825</v>
      </c>
      <c r="L177" s="19"/>
      <c r="M177" s="19"/>
    </row>
    <row r="178" ht="14.1" customHeight="1" spans="1:13">
      <c r="A178" s="19"/>
      <c r="B178" s="19"/>
      <c r="C178" s="19"/>
      <c r="D178" s="19"/>
      <c r="E178" s="19"/>
      <c r="F178" s="19"/>
      <c r="G178" s="19"/>
      <c r="H178" s="21"/>
      <c r="I178" s="21"/>
      <c r="J178" s="19"/>
      <c r="K178" s="19"/>
      <c r="L178" s="19"/>
      <c r="M178" s="19"/>
    </row>
    <row r="179" ht="14.1" customHeight="1" spans="1:13">
      <c r="A179" s="22">
        <v>445</v>
      </c>
      <c r="B179" s="19"/>
      <c r="C179" s="19" t="s">
        <v>448</v>
      </c>
      <c r="D179" s="19" t="s">
        <v>39</v>
      </c>
      <c r="E179" s="19"/>
      <c r="F179" s="19"/>
      <c r="G179" s="19"/>
      <c r="H179" s="21"/>
      <c r="I179" s="21"/>
      <c r="J179" s="19"/>
      <c r="K179" s="19"/>
      <c r="L179" s="19"/>
      <c r="M179" s="24">
        <v>26438</v>
      </c>
    </row>
    <row r="180" ht="14.1" customHeight="1" spans="1:13">
      <c r="A180" s="19"/>
      <c r="B180" s="19"/>
      <c r="C180" s="19"/>
      <c r="D180" s="19"/>
      <c r="E180" s="19"/>
      <c r="F180" s="19"/>
      <c r="G180" s="19"/>
      <c r="H180" s="21"/>
      <c r="I180" s="21"/>
      <c r="J180" s="19"/>
      <c r="K180" s="19"/>
      <c r="L180" s="19"/>
      <c r="M180" s="19"/>
    </row>
    <row r="181" ht="14.1" customHeight="1" spans="1:13">
      <c r="A181" s="22">
        <v>446</v>
      </c>
      <c r="B181" s="19"/>
      <c r="C181" s="19" t="s">
        <v>449</v>
      </c>
      <c r="D181" s="19" t="s">
        <v>39</v>
      </c>
      <c r="E181" s="24">
        <v>4150</v>
      </c>
      <c r="F181" s="24">
        <v>5300</v>
      </c>
      <c r="G181" s="24">
        <v>6000</v>
      </c>
      <c r="H181" s="23">
        <v>6425</v>
      </c>
      <c r="I181" s="23">
        <v>9088</v>
      </c>
      <c r="J181" s="24">
        <v>10850</v>
      </c>
      <c r="K181" s="24">
        <v>13725</v>
      </c>
      <c r="L181" s="19"/>
      <c r="M181" s="19"/>
    </row>
    <row r="182" ht="14.1" customHeight="1" spans="1:13">
      <c r="A182" s="19"/>
      <c r="B182" s="19"/>
      <c r="C182" s="19"/>
      <c r="D182" s="19"/>
      <c r="E182" s="19"/>
      <c r="F182" s="19"/>
      <c r="G182" s="19"/>
      <c r="H182" s="21"/>
      <c r="I182" s="21"/>
      <c r="J182" s="19"/>
      <c r="K182" s="19"/>
      <c r="L182" s="19"/>
      <c r="M182" s="19"/>
    </row>
    <row r="183" ht="14.1" customHeight="1" spans="1:13">
      <c r="A183" s="19"/>
      <c r="B183" s="19"/>
      <c r="C183" s="20" t="s">
        <v>240</v>
      </c>
      <c r="D183" s="19"/>
      <c r="E183" s="19"/>
      <c r="F183" s="19"/>
      <c r="G183" s="19"/>
      <c r="H183" s="21"/>
      <c r="I183" s="21"/>
      <c r="J183" s="19"/>
      <c r="K183" s="19"/>
      <c r="L183" s="19"/>
      <c r="M183" s="19"/>
    </row>
    <row r="184" ht="14.1" customHeight="1" spans="1:13">
      <c r="A184" s="22">
        <v>447</v>
      </c>
      <c r="B184" s="19"/>
      <c r="C184" s="19" t="s">
        <v>450</v>
      </c>
      <c r="D184" s="19" t="s">
        <v>39</v>
      </c>
      <c r="E184" s="19"/>
      <c r="F184" s="19"/>
      <c r="G184" s="24">
        <v>5225</v>
      </c>
      <c r="H184" s="23">
        <v>5700</v>
      </c>
      <c r="I184" s="23">
        <v>6700</v>
      </c>
      <c r="J184" s="24">
        <v>8417</v>
      </c>
      <c r="K184" s="24">
        <v>10225</v>
      </c>
      <c r="L184" s="24">
        <v>13431</v>
      </c>
      <c r="M184" s="19"/>
    </row>
    <row r="185" ht="14.1" customHeight="1" spans="1:13">
      <c r="A185" s="19"/>
      <c r="B185" s="19"/>
      <c r="C185" s="19"/>
      <c r="D185" s="19"/>
      <c r="E185" s="19"/>
      <c r="F185" s="19"/>
      <c r="G185" s="19"/>
      <c r="H185" s="21"/>
      <c r="I185" s="21"/>
      <c r="J185" s="19"/>
      <c r="K185" s="19"/>
      <c r="L185" s="19"/>
      <c r="M185" s="19"/>
    </row>
    <row r="186" ht="14.1" customHeight="1" spans="1:13">
      <c r="A186" s="22">
        <v>448</v>
      </c>
      <c r="B186" s="19"/>
      <c r="C186" s="19" t="s">
        <v>451</v>
      </c>
      <c r="D186" s="19" t="s">
        <v>39</v>
      </c>
      <c r="E186" s="19"/>
      <c r="F186" s="19"/>
      <c r="G186" s="19"/>
      <c r="H186" s="21"/>
      <c r="I186" s="21"/>
      <c r="J186" s="19"/>
      <c r="K186" s="19"/>
      <c r="L186" s="19"/>
      <c r="M186" s="24">
        <v>27595</v>
      </c>
    </row>
    <row r="187" ht="14.1" customHeight="1" spans="1:13">
      <c r="A187" s="19"/>
      <c r="B187" s="19"/>
      <c r="C187" s="19"/>
      <c r="D187" s="19"/>
      <c r="E187" s="19"/>
      <c r="F187" s="19"/>
      <c r="G187" s="19"/>
      <c r="H187" s="21"/>
      <c r="I187" s="21"/>
      <c r="J187" s="19"/>
      <c r="K187" s="19"/>
      <c r="L187" s="19"/>
      <c r="M187" s="19"/>
    </row>
    <row r="188" ht="14.1" customHeight="1" spans="1:13">
      <c r="A188" s="22">
        <v>449</v>
      </c>
      <c r="B188" s="19"/>
      <c r="C188" s="19" t="s">
        <v>452</v>
      </c>
      <c r="D188" s="19" t="s">
        <v>39</v>
      </c>
      <c r="E188" s="24">
        <v>3788</v>
      </c>
      <c r="F188" s="24">
        <v>3917</v>
      </c>
      <c r="G188" s="24">
        <v>5680</v>
      </c>
      <c r="H188" s="23">
        <v>6475</v>
      </c>
      <c r="I188" s="23">
        <v>7138</v>
      </c>
      <c r="J188" s="24">
        <v>8795</v>
      </c>
      <c r="K188" s="24">
        <v>12983</v>
      </c>
      <c r="L188" s="24">
        <v>17770</v>
      </c>
      <c r="M188" s="24">
        <v>20436</v>
      </c>
    </row>
    <row r="189" ht="14.1" customHeight="1" spans="1:13">
      <c r="A189" s="19"/>
      <c r="B189" s="19"/>
      <c r="C189" s="19"/>
      <c r="D189" s="19"/>
      <c r="E189" s="19"/>
      <c r="F189" s="19"/>
      <c r="G189" s="19"/>
      <c r="H189" s="21"/>
      <c r="I189" s="21"/>
      <c r="J189" s="19"/>
      <c r="K189" s="19"/>
      <c r="L189" s="19"/>
      <c r="M189" s="19"/>
    </row>
    <row r="190" ht="14.1" customHeight="1" spans="1:13">
      <c r="A190" s="22">
        <v>450</v>
      </c>
      <c r="B190" s="19"/>
      <c r="C190" s="19" t="s">
        <v>453</v>
      </c>
      <c r="D190" s="19" t="s">
        <v>39</v>
      </c>
      <c r="E190" s="24">
        <v>7688</v>
      </c>
      <c r="F190" s="24">
        <v>8025</v>
      </c>
      <c r="G190" s="24">
        <v>9394</v>
      </c>
      <c r="H190" s="23">
        <v>9613</v>
      </c>
      <c r="I190" s="23">
        <v>9625</v>
      </c>
      <c r="J190" s="24">
        <v>14217</v>
      </c>
      <c r="K190" s="24">
        <v>16542</v>
      </c>
      <c r="L190" s="24">
        <v>20542</v>
      </c>
      <c r="M190" s="24">
        <v>23623</v>
      </c>
    </row>
    <row r="191" ht="14.1" customHeight="1" spans="1:13">
      <c r="A191" s="19"/>
      <c r="B191" s="19"/>
      <c r="C191" s="19"/>
      <c r="D191" s="19"/>
      <c r="E191" s="19"/>
      <c r="F191" s="19"/>
      <c r="G191" s="19"/>
      <c r="H191" s="21"/>
      <c r="I191" s="21"/>
      <c r="J191" s="19"/>
      <c r="K191" s="19"/>
      <c r="L191" s="19"/>
      <c r="M191" s="19"/>
    </row>
    <row r="192" ht="14.1" customHeight="1" spans="1:13">
      <c r="A192" s="19"/>
      <c r="B192" s="19"/>
      <c r="C192" s="20" t="s">
        <v>48</v>
      </c>
      <c r="D192" s="19"/>
      <c r="E192" s="19"/>
      <c r="F192" s="19"/>
      <c r="G192" s="19"/>
      <c r="H192" s="21"/>
      <c r="I192" s="21"/>
      <c r="J192" s="19"/>
      <c r="K192" s="19"/>
      <c r="L192" s="19"/>
      <c r="M192" s="19"/>
    </row>
    <row r="193" ht="14.1" customHeight="1" spans="1:13">
      <c r="A193" s="22">
        <v>451</v>
      </c>
      <c r="B193" s="19"/>
      <c r="C193" s="19" t="s">
        <v>454</v>
      </c>
      <c r="D193" s="19" t="s">
        <v>39</v>
      </c>
      <c r="E193" s="19"/>
      <c r="F193" s="19"/>
      <c r="G193" s="19"/>
      <c r="H193" s="21"/>
      <c r="I193" s="21"/>
      <c r="J193" s="19"/>
      <c r="K193" s="24">
        <v>5400</v>
      </c>
      <c r="L193" s="24">
        <v>6750</v>
      </c>
      <c r="M193" s="19"/>
    </row>
    <row r="194" ht="14.1" customHeight="1" spans="1:13">
      <c r="A194" s="19"/>
      <c r="B194" s="19"/>
      <c r="C194" s="19"/>
      <c r="D194" s="19"/>
      <c r="E194" s="19"/>
      <c r="F194" s="19"/>
      <c r="G194" s="19"/>
      <c r="H194" s="21"/>
      <c r="I194" s="21"/>
      <c r="J194" s="19"/>
      <c r="K194" s="19"/>
      <c r="L194" s="19"/>
      <c r="M194" s="19"/>
    </row>
    <row r="195" ht="14.1" customHeight="1" spans="1:13">
      <c r="A195" s="19"/>
      <c r="B195" s="19"/>
      <c r="C195" s="20" t="s">
        <v>248</v>
      </c>
      <c r="D195" s="19"/>
      <c r="E195" s="19"/>
      <c r="F195" s="19"/>
      <c r="G195" s="19"/>
      <c r="H195" s="21"/>
      <c r="I195" s="21"/>
      <c r="J195" s="19"/>
      <c r="K195" s="19"/>
      <c r="L195" s="19"/>
      <c r="M195" s="19"/>
    </row>
    <row r="196" ht="14.1" customHeight="1" spans="1:13">
      <c r="A196" s="22">
        <v>452</v>
      </c>
      <c r="B196" s="19"/>
      <c r="C196" s="19" t="s">
        <v>455</v>
      </c>
      <c r="D196" s="19" t="s">
        <v>39</v>
      </c>
      <c r="E196" s="19"/>
      <c r="F196" s="19"/>
      <c r="G196" s="19"/>
      <c r="H196" s="21"/>
      <c r="I196" s="21"/>
      <c r="J196" s="19"/>
      <c r="K196" s="24">
        <v>11925</v>
      </c>
      <c r="L196" s="24">
        <v>14375</v>
      </c>
      <c r="M196" s="24">
        <v>16531</v>
      </c>
    </row>
    <row r="197" ht="14.1" customHeight="1" spans="1:13">
      <c r="A197" s="19"/>
      <c r="B197" s="19"/>
      <c r="C197" s="19"/>
      <c r="D197" s="19"/>
      <c r="E197" s="19"/>
      <c r="F197" s="19"/>
      <c r="G197" s="19"/>
      <c r="H197" s="21"/>
      <c r="I197" s="21"/>
      <c r="J197" s="19"/>
      <c r="K197" s="19"/>
      <c r="L197" s="19"/>
      <c r="M197" s="19"/>
    </row>
    <row r="198" ht="14.1" customHeight="1" spans="1:13">
      <c r="A198" s="22">
        <v>453</v>
      </c>
      <c r="B198" s="19"/>
      <c r="C198" s="19" t="s">
        <v>456</v>
      </c>
      <c r="D198" s="19" t="s">
        <v>39</v>
      </c>
      <c r="E198" s="24">
        <v>7075</v>
      </c>
      <c r="F198" s="24">
        <v>7638</v>
      </c>
      <c r="G198" s="24">
        <v>8563</v>
      </c>
      <c r="H198" s="23">
        <v>9175</v>
      </c>
      <c r="I198" s="23">
        <v>10175</v>
      </c>
      <c r="J198" s="24">
        <v>11350</v>
      </c>
      <c r="K198" s="24">
        <v>12913</v>
      </c>
      <c r="L198" s="24">
        <v>15175</v>
      </c>
      <c r="M198" s="19"/>
    </row>
    <row r="199" ht="14.1" customHeight="1" spans="1:13">
      <c r="A199" s="19"/>
      <c r="B199" s="19"/>
      <c r="C199" s="19"/>
      <c r="D199" s="19"/>
      <c r="E199" s="19"/>
      <c r="F199" s="19"/>
      <c r="G199" s="19"/>
      <c r="H199" s="21"/>
      <c r="I199" s="21"/>
      <c r="J199" s="19"/>
      <c r="K199" s="19"/>
      <c r="L199" s="19"/>
      <c r="M199" s="19"/>
    </row>
    <row r="200" ht="14.1" customHeight="1" spans="1:13">
      <c r="A200" s="22">
        <v>454</v>
      </c>
      <c r="B200" s="19"/>
      <c r="C200" s="19" t="s">
        <v>457</v>
      </c>
      <c r="D200" s="19" t="s">
        <v>39</v>
      </c>
      <c r="E200" s="19"/>
      <c r="F200" s="19"/>
      <c r="G200" s="19"/>
      <c r="H200" s="21"/>
      <c r="I200" s="21"/>
      <c r="J200" s="19"/>
      <c r="K200" s="19"/>
      <c r="L200" s="19"/>
      <c r="M200" s="24">
        <v>23713</v>
      </c>
    </row>
    <row r="201" ht="14.1" customHeight="1" spans="1:13">
      <c r="A201" s="19"/>
      <c r="B201" s="19"/>
      <c r="C201" s="19"/>
      <c r="D201" s="19"/>
      <c r="E201" s="19"/>
      <c r="F201" s="19"/>
      <c r="G201" s="19"/>
      <c r="H201" s="21"/>
      <c r="I201" s="21"/>
      <c r="J201" s="19"/>
      <c r="K201" s="19"/>
      <c r="L201" s="19"/>
      <c r="M201" s="19"/>
    </row>
    <row r="202" ht="14.1" customHeight="1" spans="1:13">
      <c r="A202" s="22">
        <v>455</v>
      </c>
      <c r="B202" s="19"/>
      <c r="C202" s="19" t="s">
        <v>458</v>
      </c>
      <c r="D202" s="19" t="s">
        <v>39</v>
      </c>
      <c r="E202" s="19"/>
      <c r="F202" s="19"/>
      <c r="G202" s="19"/>
      <c r="H202" s="21"/>
      <c r="I202" s="21"/>
      <c r="J202" s="19"/>
      <c r="K202" s="19"/>
      <c r="L202" s="19"/>
      <c r="M202" s="24">
        <v>28175</v>
      </c>
    </row>
    <row r="203" ht="14.1" customHeight="1" spans="1:13">
      <c r="A203" s="19"/>
      <c r="B203" s="19"/>
      <c r="C203" s="19"/>
      <c r="D203" s="19"/>
      <c r="E203" s="19"/>
      <c r="F203" s="19"/>
      <c r="G203" s="19"/>
      <c r="H203" s="21"/>
      <c r="I203" s="21"/>
      <c r="J203" s="19"/>
      <c r="K203" s="19"/>
      <c r="L203" s="19"/>
      <c r="M203" s="19"/>
    </row>
    <row r="204" ht="14.1" customHeight="1" spans="1:13">
      <c r="A204" s="22">
        <v>456</v>
      </c>
      <c r="B204" s="19"/>
      <c r="C204" s="19" t="s">
        <v>253</v>
      </c>
      <c r="D204" s="19" t="s">
        <v>39</v>
      </c>
      <c r="E204" s="19"/>
      <c r="F204" s="19"/>
      <c r="G204" s="19"/>
      <c r="H204" s="21"/>
      <c r="I204" s="21"/>
      <c r="J204" s="19"/>
      <c r="K204" s="19"/>
      <c r="L204" s="19"/>
      <c r="M204" s="24">
        <v>23088</v>
      </c>
    </row>
    <row r="205" ht="14.1" customHeight="1" spans="1:13">
      <c r="A205" s="19"/>
      <c r="B205" s="19"/>
      <c r="C205" s="19"/>
      <c r="D205" s="19"/>
      <c r="E205" s="19"/>
      <c r="F205" s="19"/>
      <c r="G205" s="19"/>
      <c r="H205" s="21"/>
      <c r="I205" s="21"/>
      <c r="J205" s="19"/>
      <c r="K205" s="19"/>
      <c r="L205" s="19"/>
      <c r="M205" s="19"/>
    </row>
    <row r="206" ht="14.1" customHeight="1" spans="1:13">
      <c r="A206" s="22">
        <v>457</v>
      </c>
      <c r="B206" s="19"/>
      <c r="C206" s="19" t="s">
        <v>459</v>
      </c>
      <c r="D206" s="19" t="s">
        <v>39</v>
      </c>
      <c r="E206" s="19"/>
      <c r="F206" s="19"/>
      <c r="G206" s="19"/>
      <c r="H206" s="21"/>
      <c r="I206" s="21"/>
      <c r="J206" s="19"/>
      <c r="K206" s="19"/>
      <c r="L206" s="19"/>
      <c r="M206" s="24">
        <v>37000</v>
      </c>
    </row>
    <row r="207" ht="14.1" customHeight="1" spans="1:13">
      <c r="A207" s="19"/>
      <c r="B207" s="19"/>
      <c r="C207" s="19"/>
      <c r="D207" s="19"/>
      <c r="E207" s="19"/>
      <c r="F207" s="19"/>
      <c r="G207" s="19"/>
      <c r="H207" s="21"/>
      <c r="I207" s="21"/>
      <c r="J207" s="19"/>
      <c r="K207" s="19"/>
      <c r="L207" s="19"/>
      <c r="M207" s="19"/>
    </row>
    <row r="208" ht="14.1" customHeight="1" spans="1:13">
      <c r="A208" s="22">
        <v>458</v>
      </c>
      <c r="B208" s="19"/>
      <c r="C208" s="19" t="s">
        <v>460</v>
      </c>
      <c r="D208" s="19" t="s">
        <v>39</v>
      </c>
      <c r="E208" s="24">
        <v>8175</v>
      </c>
      <c r="F208" s="24">
        <v>9000</v>
      </c>
      <c r="G208" s="24">
        <v>9950</v>
      </c>
      <c r="H208" s="23">
        <v>12950</v>
      </c>
      <c r="I208" s="23">
        <v>13475</v>
      </c>
      <c r="J208" s="24">
        <v>14825</v>
      </c>
      <c r="K208" s="24">
        <v>18375</v>
      </c>
      <c r="L208" s="24">
        <v>21875</v>
      </c>
      <c r="M208" s="24">
        <v>25156</v>
      </c>
    </row>
    <row r="209" ht="14.1" customHeight="1" spans="1:13">
      <c r="A209" s="19"/>
      <c r="B209" s="19"/>
      <c r="C209" s="19"/>
      <c r="D209" s="19"/>
      <c r="E209" s="19"/>
      <c r="F209" s="19"/>
      <c r="G209" s="19"/>
      <c r="H209" s="21"/>
      <c r="I209" s="21"/>
      <c r="J209" s="19"/>
      <c r="K209" s="19"/>
      <c r="L209" s="19"/>
      <c r="M209" s="19"/>
    </row>
    <row r="210" ht="14.1" customHeight="1" spans="1:13">
      <c r="A210" s="22">
        <v>459</v>
      </c>
      <c r="B210" s="19"/>
      <c r="C210" s="19" t="s">
        <v>461</v>
      </c>
      <c r="D210" s="19" t="s">
        <v>39</v>
      </c>
      <c r="E210" s="24">
        <v>6750</v>
      </c>
      <c r="F210" s="24">
        <v>7800</v>
      </c>
      <c r="G210" s="24">
        <v>8888</v>
      </c>
      <c r="H210" s="21"/>
      <c r="I210" s="21"/>
      <c r="J210" s="19"/>
      <c r="K210" s="19"/>
      <c r="L210" s="19"/>
      <c r="M210" s="19"/>
    </row>
    <row r="211" ht="14.1" customHeight="1" spans="1:13">
      <c r="A211" s="19"/>
      <c r="B211" s="19"/>
      <c r="C211" s="19"/>
      <c r="D211" s="19"/>
      <c r="E211" s="19"/>
      <c r="F211" s="19"/>
      <c r="G211" s="19"/>
      <c r="H211" s="21"/>
      <c r="I211" s="21"/>
      <c r="J211" s="19"/>
      <c r="K211" s="19"/>
      <c r="L211" s="19"/>
      <c r="M211" s="19"/>
    </row>
    <row r="212" ht="14.1" customHeight="1" spans="1:13">
      <c r="A212" s="22">
        <v>460</v>
      </c>
      <c r="B212" s="19"/>
      <c r="C212" s="19" t="s">
        <v>462</v>
      </c>
      <c r="D212" s="19" t="s">
        <v>39</v>
      </c>
      <c r="E212" s="19"/>
      <c r="F212" s="19"/>
      <c r="G212" s="19"/>
      <c r="H212" s="21"/>
      <c r="I212" s="23">
        <v>15825</v>
      </c>
      <c r="J212" s="24">
        <v>17300</v>
      </c>
      <c r="K212" s="24">
        <v>20100</v>
      </c>
      <c r="L212" s="24">
        <v>24225</v>
      </c>
      <c r="M212" s="19"/>
    </row>
    <row r="213" ht="14.1" customHeight="1" spans="1:13">
      <c r="A213" s="19"/>
      <c r="B213" s="19"/>
      <c r="C213" s="19"/>
      <c r="D213" s="19"/>
      <c r="E213" s="19"/>
      <c r="F213" s="19"/>
      <c r="G213" s="19"/>
      <c r="H213" s="21"/>
      <c r="I213" s="21"/>
      <c r="J213" s="19"/>
      <c r="K213" s="19"/>
      <c r="L213" s="19"/>
      <c r="M213" s="19"/>
    </row>
    <row r="214" ht="14.1" customHeight="1" spans="1:13">
      <c r="A214" s="19"/>
      <c r="B214" s="19"/>
      <c r="C214" s="20" t="s">
        <v>255</v>
      </c>
      <c r="D214" s="19"/>
      <c r="E214" s="19"/>
      <c r="F214" s="19"/>
      <c r="G214" s="19"/>
      <c r="H214" s="21"/>
      <c r="I214" s="21"/>
      <c r="J214" s="19"/>
      <c r="K214" s="19"/>
      <c r="L214" s="19"/>
      <c r="M214" s="19"/>
    </row>
    <row r="215" ht="14.1" customHeight="1" spans="1:13">
      <c r="A215" s="22">
        <v>461</v>
      </c>
      <c r="B215" s="19"/>
      <c r="C215" s="19" t="s">
        <v>463</v>
      </c>
      <c r="D215" s="19" t="s">
        <v>39</v>
      </c>
      <c r="E215" s="24">
        <v>2525</v>
      </c>
      <c r="F215" s="24">
        <v>2825</v>
      </c>
      <c r="G215" s="24">
        <v>3125</v>
      </c>
      <c r="H215" s="23">
        <v>3325</v>
      </c>
      <c r="I215" s="23">
        <v>3875</v>
      </c>
      <c r="J215" s="19"/>
      <c r="K215" s="19"/>
      <c r="L215" s="19"/>
      <c r="M215" s="19"/>
    </row>
    <row r="216" ht="14.1" customHeight="1" spans="1:13">
      <c r="A216" s="19"/>
      <c r="B216" s="19"/>
      <c r="C216" s="19"/>
      <c r="D216" s="19"/>
      <c r="E216" s="19"/>
      <c r="F216" s="19"/>
      <c r="G216" s="19"/>
      <c r="H216" s="21"/>
      <c r="I216" s="21"/>
      <c r="J216" s="19"/>
      <c r="K216" s="19"/>
      <c r="L216" s="19"/>
      <c r="M216" s="19"/>
    </row>
    <row r="217" ht="14.1" customHeight="1" spans="1:13">
      <c r="A217" s="22">
        <v>462</v>
      </c>
      <c r="B217" s="19"/>
      <c r="C217" s="19" t="s">
        <v>464</v>
      </c>
      <c r="D217" s="19" t="s">
        <v>39</v>
      </c>
      <c r="E217" s="19"/>
      <c r="F217" s="19"/>
      <c r="G217" s="19"/>
      <c r="H217" s="21"/>
      <c r="I217" s="21"/>
      <c r="J217" s="19"/>
      <c r="K217" s="19"/>
      <c r="L217" s="19"/>
      <c r="M217" s="24">
        <v>17633</v>
      </c>
    </row>
    <row r="218" ht="14.1" customHeight="1" spans="1:13">
      <c r="A218" s="19"/>
      <c r="B218" s="19"/>
      <c r="C218" s="19"/>
      <c r="D218" s="19"/>
      <c r="E218" s="19"/>
      <c r="F218" s="19"/>
      <c r="G218" s="19"/>
      <c r="H218" s="21"/>
      <c r="I218" s="21"/>
      <c r="J218" s="19"/>
      <c r="K218" s="19"/>
      <c r="L218" s="19"/>
      <c r="M218" s="19"/>
    </row>
    <row r="219" ht="14.1" customHeight="1" spans="1:13">
      <c r="A219" s="22">
        <v>463</v>
      </c>
      <c r="B219" s="19"/>
      <c r="C219" s="19" t="s">
        <v>465</v>
      </c>
      <c r="D219" s="19" t="s">
        <v>39</v>
      </c>
      <c r="E219" s="19"/>
      <c r="F219" s="19"/>
      <c r="G219" s="19"/>
      <c r="H219" s="21"/>
      <c r="I219" s="21"/>
      <c r="J219" s="19"/>
      <c r="K219" s="19"/>
      <c r="L219" s="19"/>
      <c r="M219" s="24">
        <v>19107</v>
      </c>
    </row>
    <row r="220" ht="14.1" customHeight="1" spans="1:13">
      <c r="A220" s="19"/>
      <c r="B220" s="19"/>
      <c r="C220" s="19"/>
      <c r="D220" s="19"/>
      <c r="E220" s="19"/>
      <c r="F220" s="19"/>
      <c r="G220" s="19"/>
      <c r="H220" s="21"/>
      <c r="I220" s="21"/>
      <c r="J220" s="19"/>
      <c r="K220" s="19"/>
      <c r="L220" s="19"/>
      <c r="M220" s="19"/>
    </row>
    <row r="221" ht="14.1" customHeight="1" spans="1:13">
      <c r="A221" s="22">
        <v>464</v>
      </c>
      <c r="B221" s="19"/>
      <c r="C221" s="19" t="s">
        <v>466</v>
      </c>
      <c r="D221" s="19" t="s">
        <v>39</v>
      </c>
      <c r="E221" s="19"/>
      <c r="F221" s="19"/>
      <c r="G221" s="19"/>
      <c r="H221" s="21"/>
      <c r="I221" s="21"/>
      <c r="J221" s="19"/>
      <c r="K221" s="19"/>
      <c r="L221" s="19"/>
      <c r="M221" s="24">
        <v>20508</v>
      </c>
    </row>
    <row r="222" ht="14.1" customHeight="1" spans="1:13">
      <c r="A222" s="19"/>
      <c r="B222" s="19"/>
      <c r="C222" s="19"/>
      <c r="D222" s="19"/>
      <c r="E222" s="19"/>
      <c r="F222" s="19"/>
      <c r="G222" s="19"/>
      <c r="H222" s="21"/>
      <c r="I222" s="21"/>
      <c r="J222" s="19"/>
      <c r="K222" s="19"/>
      <c r="L222" s="19"/>
      <c r="M222" s="19"/>
    </row>
    <row r="223" ht="14.1" customHeight="1" spans="1:13">
      <c r="A223" s="22">
        <v>465</v>
      </c>
      <c r="B223" s="19"/>
      <c r="C223" s="19" t="s">
        <v>467</v>
      </c>
      <c r="D223" s="19" t="s">
        <v>39</v>
      </c>
      <c r="E223" s="24">
        <v>2388</v>
      </c>
      <c r="F223" s="19"/>
      <c r="G223" s="19"/>
      <c r="H223" s="21"/>
      <c r="I223" s="21"/>
      <c r="J223" s="19"/>
      <c r="K223" s="19"/>
      <c r="L223" s="19"/>
      <c r="M223" s="19"/>
    </row>
    <row r="224" ht="14.1" customHeight="1" spans="1:13">
      <c r="A224" s="19"/>
      <c r="B224" s="19"/>
      <c r="C224" s="19"/>
      <c r="D224" s="19"/>
      <c r="E224" s="19"/>
      <c r="F224" s="19"/>
      <c r="G224" s="19"/>
      <c r="H224" s="21"/>
      <c r="I224" s="21"/>
      <c r="J224" s="19"/>
      <c r="K224" s="19"/>
      <c r="L224" s="19"/>
      <c r="M224" s="19"/>
    </row>
    <row r="225" ht="14.1" customHeight="1" spans="1:13">
      <c r="A225" s="22">
        <v>466</v>
      </c>
      <c r="B225" s="19"/>
      <c r="C225" s="19" t="s">
        <v>468</v>
      </c>
      <c r="D225" s="19" t="s">
        <v>39</v>
      </c>
      <c r="E225" s="24">
        <v>3483</v>
      </c>
      <c r="F225" s="24">
        <v>3758</v>
      </c>
      <c r="G225" s="24">
        <v>4381</v>
      </c>
      <c r="H225" s="23">
        <v>4722</v>
      </c>
      <c r="I225" s="23">
        <v>5870</v>
      </c>
      <c r="J225" s="24">
        <v>7833</v>
      </c>
      <c r="K225" s="24">
        <v>9313</v>
      </c>
      <c r="L225" s="24">
        <v>11210</v>
      </c>
      <c r="M225" s="24">
        <v>12892</v>
      </c>
    </row>
    <row r="226" ht="14.1" customHeight="1" spans="1:13">
      <c r="A226" s="19"/>
      <c r="B226" s="19"/>
      <c r="C226" s="19"/>
      <c r="D226" s="19"/>
      <c r="E226" s="19"/>
      <c r="F226" s="19"/>
      <c r="G226" s="19"/>
      <c r="H226" s="21"/>
      <c r="I226" s="21"/>
      <c r="J226" s="19"/>
      <c r="K226" s="19"/>
      <c r="L226" s="19"/>
      <c r="M226" s="19"/>
    </row>
    <row r="227" ht="14.1" customHeight="1" spans="1:13">
      <c r="A227" s="19"/>
      <c r="B227" s="19"/>
      <c r="C227" s="20" t="s">
        <v>265</v>
      </c>
      <c r="D227" s="19"/>
      <c r="E227" s="19"/>
      <c r="F227" s="19"/>
      <c r="G227" s="19"/>
      <c r="H227" s="21"/>
      <c r="I227" s="21"/>
      <c r="J227" s="19"/>
      <c r="K227" s="19"/>
      <c r="L227" s="19"/>
      <c r="M227" s="19"/>
    </row>
    <row r="228" ht="14.1" customHeight="1" spans="1:13">
      <c r="A228" s="22">
        <v>467</v>
      </c>
      <c r="B228" s="19"/>
      <c r="C228" s="19" t="s">
        <v>266</v>
      </c>
      <c r="D228" s="19" t="s">
        <v>39</v>
      </c>
      <c r="E228" s="24">
        <v>6700</v>
      </c>
      <c r="F228" s="24">
        <v>8000</v>
      </c>
      <c r="G228" s="24">
        <v>9225</v>
      </c>
      <c r="H228" s="23">
        <v>9454</v>
      </c>
      <c r="I228" s="23">
        <v>10083</v>
      </c>
      <c r="J228" s="24">
        <v>11179</v>
      </c>
      <c r="K228" s="24">
        <v>12217</v>
      </c>
      <c r="L228" s="24">
        <v>15431</v>
      </c>
      <c r="M228" s="24">
        <v>17746</v>
      </c>
    </row>
    <row r="229" ht="14.1" customHeight="1" spans="1:13">
      <c r="A229" s="19"/>
      <c r="B229" s="19"/>
      <c r="C229" s="19"/>
      <c r="D229" s="19"/>
      <c r="E229" s="19"/>
      <c r="F229" s="19"/>
      <c r="G229" s="19"/>
      <c r="H229" s="21"/>
      <c r="I229" s="21"/>
      <c r="J229" s="19"/>
      <c r="K229" s="19"/>
      <c r="L229" s="19"/>
      <c r="M229" s="19"/>
    </row>
    <row r="230" ht="14.1" customHeight="1" spans="1:13">
      <c r="A230" s="22">
        <v>468</v>
      </c>
      <c r="B230" s="19"/>
      <c r="C230" s="19" t="s">
        <v>469</v>
      </c>
      <c r="D230" s="19" t="s">
        <v>39</v>
      </c>
      <c r="E230" s="24">
        <v>8350</v>
      </c>
      <c r="F230" s="24">
        <v>9025</v>
      </c>
      <c r="G230" s="24">
        <v>9600</v>
      </c>
      <c r="H230" s="23">
        <v>12642</v>
      </c>
      <c r="I230" s="23">
        <v>15058</v>
      </c>
      <c r="J230" s="24">
        <v>17317</v>
      </c>
      <c r="K230" s="24">
        <v>21317</v>
      </c>
      <c r="L230" s="24">
        <v>24875</v>
      </c>
      <c r="M230" s="24">
        <v>28606</v>
      </c>
    </row>
    <row r="231" ht="14.1" customHeight="1" spans="1:13">
      <c r="A231" s="19"/>
      <c r="B231" s="19"/>
      <c r="C231" s="19"/>
      <c r="D231" s="19"/>
      <c r="E231" s="19"/>
      <c r="F231" s="19"/>
      <c r="G231" s="19"/>
      <c r="H231" s="21"/>
      <c r="I231" s="21"/>
      <c r="J231" s="19"/>
      <c r="K231" s="19"/>
      <c r="L231" s="19"/>
      <c r="M231" s="19"/>
    </row>
    <row r="232" ht="14.1" customHeight="1" spans="1:13">
      <c r="A232" s="22">
        <v>469</v>
      </c>
      <c r="B232" s="19"/>
      <c r="C232" s="19" t="s">
        <v>470</v>
      </c>
      <c r="D232" s="19" t="s">
        <v>39</v>
      </c>
      <c r="E232" s="24">
        <v>5850</v>
      </c>
      <c r="F232" s="24">
        <v>7475</v>
      </c>
      <c r="G232" s="24">
        <v>9038</v>
      </c>
      <c r="H232" s="23">
        <v>9750</v>
      </c>
      <c r="I232" s="23">
        <v>11458</v>
      </c>
      <c r="J232" s="24">
        <v>13800</v>
      </c>
      <c r="K232" s="24">
        <v>16496</v>
      </c>
      <c r="L232" s="24">
        <v>19229</v>
      </c>
      <c r="M232" s="19"/>
    </row>
    <row r="233" ht="14.1" customHeight="1" spans="1:13">
      <c r="A233" s="19"/>
      <c r="B233" s="19"/>
      <c r="C233" s="19"/>
      <c r="D233" s="19"/>
      <c r="E233" s="19"/>
      <c r="F233" s="19"/>
      <c r="G233" s="19"/>
      <c r="H233" s="21"/>
      <c r="I233" s="21"/>
      <c r="J233" s="19"/>
      <c r="K233" s="19"/>
      <c r="L233" s="19"/>
      <c r="M233" s="19"/>
    </row>
    <row r="234" ht="14.1" customHeight="1" spans="1:13">
      <c r="A234" s="22">
        <v>470</v>
      </c>
      <c r="B234" s="19"/>
      <c r="C234" s="19" t="s">
        <v>471</v>
      </c>
      <c r="D234" s="19" t="s">
        <v>39</v>
      </c>
      <c r="E234" s="24">
        <v>6420</v>
      </c>
      <c r="F234" s="24">
        <v>7171</v>
      </c>
      <c r="G234" s="24">
        <v>7780</v>
      </c>
      <c r="H234" s="23">
        <v>9071</v>
      </c>
      <c r="I234" s="23">
        <v>10029</v>
      </c>
      <c r="J234" s="24">
        <v>14765</v>
      </c>
      <c r="K234" s="24">
        <v>16409</v>
      </c>
      <c r="L234" s="24">
        <v>19680</v>
      </c>
      <c r="M234" s="24">
        <v>22632</v>
      </c>
    </row>
    <row r="235" ht="14.1" customHeight="1" spans="1:13">
      <c r="A235" s="19"/>
      <c r="B235" s="19"/>
      <c r="C235" s="19"/>
      <c r="D235" s="19"/>
      <c r="E235" s="19"/>
      <c r="F235" s="19"/>
      <c r="G235" s="19"/>
      <c r="H235" s="21"/>
      <c r="I235" s="21"/>
      <c r="J235" s="19"/>
      <c r="K235" s="19"/>
      <c r="L235" s="19"/>
      <c r="M235" s="19"/>
    </row>
    <row r="236" ht="14.1" customHeight="1" spans="1:13">
      <c r="A236" s="22">
        <v>471</v>
      </c>
      <c r="B236" s="19"/>
      <c r="C236" s="19" t="s">
        <v>472</v>
      </c>
      <c r="D236" s="19" t="s">
        <v>39</v>
      </c>
      <c r="E236" s="24">
        <v>7045</v>
      </c>
      <c r="F236" s="24">
        <v>7530</v>
      </c>
      <c r="G236" s="24">
        <v>10475</v>
      </c>
      <c r="H236" s="23">
        <v>12499</v>
      </c>
      <c r="I236" s="23">
        <v>13319</v>
      </c>
      <c r="J236" s="24">
        <v>16221</v>
      </c>
      <c r="K236" s="24">
        <v>19438</v>
      </c>
      <c r="L236" s="24">
        <v>23025</v>
      </c>
      <c r="M236" s="24">
        <v>26479</v>
      </c>
    </row>
    <row r="237" ht="14.1" customHeight="1" spans="1:13">
      <c r="A237" s="19"/>
      <c r="B237" s="19"/>
      <c r="C237" s="19"/>
      <c r="D237" s="19"/>
      <c r="E237" s="19"/>
      <c r="F237" s="19"/>
      <c r="G237" s="19"/>
      <c r="H237" s="21"/>
      <c r="I237" s="21"/>
      <c r="J237" s="19"/>
      <c r="K237" s="19"/>
      <c r="L237" s="19"/>
      <c r="M237" s="19"/>
    </row>
    <row r="238" ht="14.1" customHeight="1" spans="1:13">
      <c r="A238" s="22">
        <v>472</v>
      </c>
      <c r="B238" s="19"/>
      <c r="C238" s="19" t="s">
        <v>473</v>
      </c>
      <c r="D238" s="19" t="s">
        <v>39</v>
      </c>
      <c r="E238" s="24">
        <v>10225</v>
      </c>
      <c r="F238" s="24">
        <v>10850</v>
      </c>
      <c r="G238" s="24">
        <v>11525</v>
      </c>
      <c r="H238" s="23">
        <v>12250</v>
      </c>
      <c r="I238" s="23">
        <v>14988</v>
      </c>
      <c r="J238" s="24">
        <v>24438</v>
      </c>
      <c r="K238" s="24">
        <v>28325</v>
      </c>
      <c r="L238" s="24">
        <v>34158</v>
      </c>
      <c r="M238" s="24">
        <v>39282</v>
      </c>
    </row>
    <row r="239" ht="14.1" customHeight="1" spans="1:13">
      <c r="A239" s="19"/>
      <c r="B239" s="19"/>
      <c r="C239" s="19"/>
      <c r="D239" s="19"/>
      <c r="E239" s="19"/>
      <c r="F239" s="19"/>
      <c r="G239" s="19"/>
      <c r="H239" s="21"/>
      <c r="I239" s="21"/>
      <c r="J239" s="19"/>
      <c r="K239" s="19"/>
      <c r="L239" s="19"/>
      <c r="M239" s="19"/>
    </row>
    <row r="240" ht="14.1" customHeight="1" spans="1:13">
      <c r="A240" s="22">
        <v>473</v>
      </c>
      <c r="B240" s="19"/>
      <c r="C240" s="19" t="s">
        <v>267</v>
      </c>
      <c r="D240" s="19" t="s">
        <v>39</v>
      </c>
      <c r="E240" s="19"/>
      <c r="F240" s="19"/>
      <c r="G240" s="19"/>
      <c r="H240" s="23">
        <v>9425</v>
      </c>
      <c r="I240" s="23">
        <v>12250</v>
      </c>
      <c r="J240" s="24">
        <v>12500</v>
      </c>
      <c r="K240" s="24">
        <v>14838</v>
      </c>
      <c r="L240" s="24">
        <v>22363</v>
      </c>
      <c r="M240" s="24">
        <v>25225</v>
      </c>
    </row>
    <row r="241" ht="14.1" customHeight="1" spans="1:13">
      <c r="A241" s="19"/>
      <c r="B241" s="19"/>
      <c r="C241" s="19"/>
      <c r="D241" s="19"/>
      <c r="E241" s="19"/>
      <c r="F241" s="19"/>
      <c r="G241" s="19"/>
      <c r="H241" s="21"/>
      <c r="I241" s="21"/>
      <c r="J241" s="19"/>
      <c r="K241" s="19"/>
      <c r="L241" s="19"/>
      <c r="M241" s="19"/>
    </row>
    <row r="242" ht="14.1" customHeight="1" spans="1:13">
      <c r="A242" s="19"/>
      <c r="B242" s="19"/>
      <c r="C242" s="20" t="s">
        <v>268</v>
      </c>
      <c r="D242" s="19"/>
      <c r="E242" s="19"/>
      <c r="F242" s="19"/>
      <c r="G242" s="19"/>
      <c r="H242" s="21"/>
      <c r="I242" s="21"/>
      <c r="J242" s="19"/>
      <c r="K242" s="19"/>
      <c r="L242" s="19"/>
      <c r="M242" s="19"/>
    </row>
    <row r="243" ht="14.1" customHeight="1" spans="1:13">
      <c r="A243" s="22">
        <v>474</v>
      </c>
      <c r="B243" s="19"/>
      <c r="C243" s="19" t="s">
        <v>474</v>
      </c>
      <c r="D243" s="19" t="s">
        <v>39</v>
      </c>
      <c r="E243" s="24">
        <v>3213</v>
      </c>
      <c r="F243" s="24">
        <v>3600</v>
      </c>
      <c r="G243" s="24">
        <v>4088</v>
      </c>
      <c r="H243" s="23">
        <v>4694</v>
      </c>
      <c r="I243" s="23">
        <v>5100</v>
      </c>
      <c r="J243" s="24">
        <v>6263</v>
      </c>
      <c r="K243" s="24">
        <v>7425</v>
      </c>
      <c r="L243" s="24">
        <v>8906</v>
      </c>
      <c r="M243" s="24">
        <v>10242</v>
      </c>
    </row>
    <row r="244" ht="14.1" customHeight="1" spans="1:13">
      <c r="A244" s="19"/>
      <c r="B244" s="19"/>
      <c r="C244" s="19"/>
      <c r="D244" s="19"/>
      <c r="E244" s="19"/>
      <c r="F244" s="19"/>
      <c r="G244" s="19"/>
      <c r="H244" s="21"/>
      <c r="I244" s="21"/>
      <c r="J244" s="19"/>
      <c r="K244" s="19"/>
      <c r="L244" s="19"/>
      <c r="M244" s="19"/>
    </row>
    <row r="245" ht="14.1" customHeight="1" spans="1:13">
      <c r="A245" s="19"/>
      <c r="B245" s="19"/>
      <c r="C245" s="20" t="s">
        <v>53</v>
      </c>
      <c r="D245" s="19"/>
      <c r="E245" s="19"/>
      <c r="F245" s="19"/>
      <c r="G245" s="19"/>
      <c r="H245" s="21"/>
      <c r="I245" s="21"/>
      <c r="J245" s="19"/>
      <c r="K245" s="19"/>
      <c r="L245" s="19"/>
      <c r="M245" s="19"/>
    </row>
    <row r="246" ht="14.1" customHeight="1" spans="1:13">
      <c r="A246" s="22">
        <v>475</v>
      </c>
      <c r="B246" s="19"/>
      <c r="C246" s="19" t="s">
        <v>475</v>
      </c>
      <c r="D246" s="19" t="s">
        <v>39</v>
      </c>
      <c r="E246" s="24">
        <v>2400</v>
      </c>
      <c r="F246" s="19"/>
      <c r="G246" s="24">
        <v>2625</v>
      </c>
      <c r="H246" s="23">
        <v>2838</v>
      </c>
      <c r="I246" s="23">
        <v>3433</v>
      </c>
      <c r="J246" s="24">
        <v>4175</v>
      </c>
      <c r="K246" s="24">
        <v>5650</v>
      </c>
      <c r="L246" s="19"/>
      <c r="M246" s="19"/>
    </row>
    <row r="247" ht="14.1" customHeight="1" spans="1:13">
      <c r="A247" s="19"/>
      <c r="B247" s="19"/>
      <c r="C247" s="19"/>
      <c r="D247" s="19"/>
      <c r="E247" s="19"/>
      <c r="F247" s="19"/>
      <c r="G247" s="19"/>
      <c r="H247" s="21"/>
      <c r="I247" s="21"/>
      <c r="J247" s="19"/>
      <c r="K247" s="19"/>
      <c r="L247" s="19"/>
      <c r="M247" s="19"/>
    </row>
    <row r="248" ht="14.1" customHeight="1" spans="1:13">
      <c r="A248" s="22">
        <v>476</v>
      </c>
      <c r="B248" s="19"/>
      <c r="C248" s="19" t="s">
        <v>284</v>
      </c>
      <c r="D248" s="19" t="s">
        <v>39</v>
      </c>
      <c r="E248" s="19"/>
      <c r="F248" s="19"/>
      <c r="G248" s="19"/>
      <c r="H248" s="21"/>
      <c r="I248" s="21"/>
      <c r="J248" s="19"/>
      <c r="K248" s="19"/>
      <c r="L248" s="19"/>
      <c r="M248" s="24">
        <v>14000</v>
      </c>
    </row>
    <row r="249" ht="14.1" customHeight="1" spans="1:13">
      <c r="A249" s="19"/>
      <c r="B249" s="19"/>
      <c r="C249" s="19"/>
      <c r="D249" s="19"/>
      <c r="E249" s="19"/>
      <c r="F249" s="19"/>
      <c r="G249" s="19"/>
      <c r="H249" s="21"/>
      <c r="I249" s="21"/>
      <c r="J249" s="19"/>
      <c r="K249" s="19"/>
      <c r="L249" s="19"/>
      <c r="M249" s="19"/>
    </row>
    <row r="250" ht="14.1" customHeight="1" spans="1:13">
      <c r="A250" s="22">
        <v>477</v>
      </c>
      <c r="B250" s="19"/>
      <c r="C250" s="19" t="s">
        <v>476</v>
      </c>
      <c r="D250" s="19" t="s">
        <v>39</v>
      </c>
      <c r="E250" s="19"/>
      <c r="F250" s="24">
        <v>2688</v>
      </c>
      <c r="G250" s="24">
        <v>3117</v>
      </c>
      <c r="H250" s="23">
        <v>3417</v>
      </c>
      <c r="I250" s="23">
        <v>4158</v>
      </c>
      <c r="J250" s="24">
        <v>4808</v>
      </c>
      <c r="K250" s="24">
        <v>6688</v>
      </c>
      <c r="L250" s="24">
        <v>7988</v>
      </c>
      <c r="M250" s="24">
        <v>8950</v>
      </c>
    </row>
    <row r="251" ht="14.1" customHeight="1" spans="1:13">
      <c r="A251" s="19"/>
      <c r="B251" s="19"/>
      <c r="C251" s="19"/>
      <c r="D251" s="19"/>
      <c r="E251" s="19"/>
      <c r="F251" s="19"/>
      <c r="G251" s="19"/>
      <c r="H251" s="21"/>
      <c r="I251" s="21"/>
      <c r="J251" s="19"/>
      <c r="K251" s="19"/>
      <c r="L251" s="19"/>
      <c r="M251" s="19"/>
    </row>
    <row r="252" ht="14.1" customHeight="1" spans="1:13">
      <c r="A252" s="19"/>
      <c r="B252" s="19"/>
      <c r="C252" s="20" t="s">
        <v>287</v>
      </c>
      <c r="D252" s="19"/>
      <c r="E252" s="19"/>
      <c r="F252" s="19"/>
      <c r="G252" s="19"/>
      <c r="H252" s="21"/>
      <c r="I252" s="21"/>
      <c r="J252" s="19"/>
      <c r="K252" s="19"/>
      <c r="L252" s="19"/>
      <c r="M252" s="19"/>
    </row>
    <row r="253" ht="14.1" customHeight="1" spans="1:13">
      <c r="A253" s="22">
        <v>478</v>
      </c>
      <c r="B253" s="19"/>
      <c r="C253" s="19" t="s">
        <v>477</v>
      </c>
      <c r="D253" s="19" t="s">
        <v>39</v>
      </c>
      <c r="E253" s="19"/>
      <c r="F253" s="19"/>
      <c r="G253" s="19"/>
      <c r="H253" s="21"/>
      <c r="I253" s="21"/>
      <c r="J253" s="24">
        <v>10530</v>
      </c>
      <c r="K253" s="24">
        <v>12039</v>
      </c>
      <c r="L253" s="24">
        <v>14100</v>
      </c>
      <c r="M253" s="24">
        <v>16215</v>
      </c>
    </row>
    <row r="254" ht="14.1" customHeight="1" spans="1:13">
      <c r="A254" s="19"/>
      <c r="B254" s="19"/>
      <c r="C254" s="19"/>
      <c r="D254" s="19"/>
      <c r="E254" s="19"/>
      <c r="F254" s="19"/>
      <c r="G254" s="19"/>
      <c r="H254" s="21"/>
      <c r="I254" s="21"/>
      <c r="J254" s="19"/>
      <c r="K254" s="19"/>
      <c r="L254" s="19"/>
      <c r="M254" s="19"/>
    </row>
    <row r="255" ht="14.1" customHeight="1" spans="1:13">
      <c r="A255" s="22">
        <v>479</v>
      </c>
      <c r="B255" s="19"/>
      <c r="C255" s="19" t="s">
        <v>478</v>
      </c>
      <c r="D255" s="19" t="s">
        <v>39</v>
      </c>
      <c r="E255" s="19"/>
      <c r="F255" s="19"/>
      <c r="G255" s="19"/>
      <c r="H255" s="21"/>
      <c r="I255" s="23">
        <v>6275</v>
      </c>
      <c r="J255" s="24">
        <v>7075</v>
      </c>
      <c r="K255" s="24">
        <v>8225</v>
      </c>
      <c r="L255" s="24">
        <v>10713</v>
      </c>
      <c r="M255" s="24">
        <v>12320</v>
      </c>
    </row>
    <row r="256" ht="14.1" customHeight="1" spans="1:13">
      <c r="A256" s="19"/>
      <c r="B256" s="19"/>
      <c r="C256" s="19"/>
      <c r="D256" s="19"/>
      <c r="E256" s="19"/>
      <c r="F256" s="19"/>
      <c r="G256" s="19"/>
      <c r="H256" s="21"/>
      <c r="I256" s="21"/>
      <c r="J256" s="19"/>
      <c r="K256" s="19"/>
      <c r="L256" s="19"/>
      <c r="M256" s="19"/>
    </row>
    <row r="257" ht="14.1" customHeight="1" spans="1:13">
      <c r="A257" s="22">
        <v>480</v>
      </c>
      <c r="B257" s="19"/>
      <c r="C257" s="19" t="s">
        <v>479</v>
      </c>
      <c r="D257" s="19" t="s">
        <v>39</v>
      </c>
      <c r="E257" s="19"/>
      <c r="F257" s="19"/>
      <c r="G257" s="19"/>
      <c r="H257" s="21"/>
      <c r="I257" s="21"/>
      <c r="J257" s="19"/>
      <c r="K257" s="19"/>
      <c r="L257" s="19"/>
      <c r="M257" s="24">
        <v>54825</v>
      </c>
    </row>
    <row r="258" ht="14.1" customHeight="1" spans="1:13">
      <c r="A258" s="19"/>
      <c r="B258" s="19"/>
      <c r="C258" s="19"/>
      <c r="D258" s="19"/>
      <c r="E258" s="19"/>
      <c r="F258" s="19"/>
      <c r="G258" s="19"/>
      <c r="H258" s="21"/>
      <c r="I258" s="21"/>
      <c r="J258" s="19"/>
      <c r="K258" s="19"/>
      <c r="L258" s="19"/>
      <c r="M258" s="19"/>
    </row>
    <row r="259" ht="14.1" customHeight="1" spans="1:13">
      <c r="A259" s="22">
        <v>481</v>
      </c>
      <c r="B259" s="19"/>
      <c r="C259" s="19" t="s">
        <v>480</v>
      </c>
      <c r="D259" s="19" t="s">
        <v>39</v>
      </c>
      <c r="E259" s="24">
        <v>2992</v>
      </c>
      <c r="F259" s="24">
        <v>3425</v>
      </c>
      <c r="G259" s="24">
        <v>4533</v>
      </c>
      <c r="H259" s="23">
        <v>4983</v>
      </c>
      <c r="I259" s="23">
        <v>5808</v>
      </c>
      <c r="J259" s="24">
        <v>6517</v>
      </c>
      <c r="K259" s="24">
        <v>10263</v>
      </c>
      <c r="L259" s="24">
        <v>12250</v>
      </c>
      <c r="M259" s="24">
        <v>14088</v>
      </c>
    </row>
    <row r="260" ht="14.1" customHeight="1" spans="1:13">
      <c r="A260" s="19"/>
      <c r="B260" s="19"/>
      <c r="C260" s="19"/>
      <c r="D260" s="19"/>
      <c r="E260" s="19"/>
      <c r="F260" s="19"/>
      <c r="G260" s="19"/>
      <c r="H260" s="21"/>
      <c r="I260" s="21"/>
      <c r="J260" s="19"/>
      <c r="K260" s="19"/>
      <c r="L260" s="19"/>
      <c r="M260" s="19"/>
    </row>
    <row r="261" ht="14.1" customHeight="1" spans="1:13">
      <c r="A261" s="22">
        <v>482</v>
      </c>
      <c r="B261" s="19"/>
      <c r="C261" s="19" t="s">
        <v>481</v>
      </c>
      <c r="D261" s="19" t="s">
        <v>39</v>
      </c>
      <c r="E261" s="19"/>
      <c r="F261" s="19"/>
      <c r="G261" s="19"/>
      <c r="H261" s="21"/>
      <c r="I261" s="21"/>
      <c r="J261" s="19"/>
      <c r="K261" s="19"/>
      <c r="L261" s="19"/>
      <c r="M261" s="24">
        <v>15670</v>
      </c>
    </row>
    <row r="262" ht="14.1" customHeight="1" spans="1:13">
      <c r="A262" s="19"/>
      <c r="B262" s="19"/>
      <c r="C262" s="19"/>
      <c r="D262" s="19"/>
      <c r="E262" s="19"/>
      <c r="F262" s="19"/>
      <c r="G262" s="19"/>
      <c r="H262" s="21"/>
      <c r="I262" s="21"/>
      <c r="J262" s="19"/>
      <c r="K262" s="19"/>
      <c r="L262" s="19"/>
      <c r="M262" s="19"/>
    </row>
    <row r="263" ht="14.1" customHeight="1" spans="1:13">
      <c r="A263" s="19"/>
      <c r="B263" s="19"/>
      <c r="C263" s="20" t="s">
        <v>294</v>
      </c>
      <c r="D263" s="19"/>
      <c r="E263" s="19"/>
      <c r="F263" s="19"/>
      <c r="G263" s="19"/>
      <c r="H263" s="21"/>
      <c r="I263" s="21"/>
      <c r="J263" s="19"/>
      <c r="K263" s="19"/>
      <c r="L263" s="19"/>
      <c r="M263" s="19"/>
    </row>
    <row r="264" ht="14.1" customHeight="1" spans="1:13">
      <c r="A264" s="22">
        <v>483</v>
      </c>
      <c r="B264" s="19"/>
      <c r="C264" s="19" t="s">
        <v>482</v>
      </c>
      <c r="D264" s="19" t="s">
        <v>39</v>
      </c>
      <c r="E264" s="19"/>
      <c r="F264" s="24">
        <v>2538</v>
      </c>
      <c r="G264" s="24">
        <v>2738</v>
      </c>
      <c r="H264" s="23">
        <v>2994</v>
      </c>
      <c r="I264" s="21"/>
      <c r="J264" s="24">
        <v>4263</v>
      </c>
      <c r="K264" s="24">
        <v>4881</v>
      </c>
      <c r="L264" s="19"/>
      <c r="M264" s="19"/>
    </row>
    <row r="265" ht="14.1" customHeight="1" spans="1:13">
      <c r="A265" s="19"/>
      <c r="B265" s="19"/>
      <c r="C265" s="19"/>
      <c r="D265" s="19"/>
      <c r="E265" s="19"/>
      <c r="F265" s="19"/>
      <c r="G265" s="19"/>
      <c r="H265" s="21"/>
      <c r="I265" s="21"/>
      <c r="J265" s="19"/>
      <c r="K265" s="19"/>
      <c r="L265" s="19"/>
      <c r="M265" s="19"/>
    </row>
    <row r="266" ht="14.1" customHeight="1" spans="1:13">
      <c r="A266" s="22">
        <v>484</v>
      </c>
      <c r="B266" s="19"/>
      <c r="C266" s="19" t="s">
        <v>483</v>
      </c>
      <c r="D266" s="19" t="s">
        <v>39</v>
      </c>
      <c r="E266" s="19"/>
      <c r="F266" s="24">
        <v>2575</v>
      </c>
      <c r="G266" s="19"/>
      <c r="H266" s="23">
        <v>3725</v>
      </c>
      <c r="I266" s="23">
        <v>4400</v>
      </c>
      <c r="J266" s="24">
        <v>4950</v>
      </c>
      <c r="K266" s="19"/>
      <c r="L266" s="19"/>
      <c r="M266" s="19"/>
    </row>
    <row r="267" ht="14.1" customHeight="1" spans="1:13">
      <c r="A267" s="19"/>
      <c r="B267" s="19"/>
      <c r="C267" s="19"/>
      <c r="D267" s="19"/>
      <c r="E267" s="19"/>
      <c r="F267" s="19"/>
      <c r="G267" s="19"/>
      <c r="H267" s="21"/>
      <c r="I267" s="21"/>
      <c r="J267" s="19"/>
      <c r="K267" s="19"/>
      <c r="L267" s="19"/>
      <c r="M267" s="19"/>
    </row>
    <row r="268" ht="14.1" customHeight="1" spans="1:13">
      <c r="A268" s="22">
        <v>485</v>
      </c>
      <c r="B268" s="19"/>
      <c r="C268" s="19" t="s">
        <v>484</v>
      </c>
      <c r="D268" s="19" t="s">
        <v>39</v>
      </c>
      <c r="E268" s="24">
        <v>1425</v>
      </c>
      <c r="F268" s="19"/>
      <c r="G268" s="19"/>
      <c r="H268" s="21"/>
      <c r="I268" s="21"/>
      <c r="J268" s="19"/>
      <c r="K268" s="19"/>
      <c r="L268" s="19"/>
      <c r="M268" s="19"/>
    </row>
    <row r="269" ht="14.1" customHeight="1" spans="1:13">
      <c r="A269" s="19"/>
      <c r="B269" s="19"/>
      <c r="C269" s="19"/>
      <c r="D269" s="19"/>
      <c r="E269" s="19"/>
      <c r="F269" s="19"/>
      <c r="G269" s="19"/>
      <c r="H269" s="21"/>
      <c r="I269" s="21"/>
      <c r="J269" s="19"/>
      <c r="K269" s="19"/>
      <c r="L269" s="19"/>
      <c r="M269" s="19"/>
    </row>
    <row r="270" ht="14.1" customHeight="1" spans="1:13">
      <c r="A270" s="22">
        <v>486</v>
      </c>
      <c r="B270" s="19"/>
      <c r="C270" s="19" t="s">
        <v>485</v>
      </c>
      <c r="D270" s="19" t="s">
        <v>39</v>
      </c>
      <c r="E270" s="24">
        <v>2000</v>
      </c>
      <c r="F270" s="24">
        <v>2250</v>
      </c>
      <c r="G270" s="19"/>
      <c r="H270" s="21"/>
      <c r="I270" s="21"/>
      <c r="J270" s="19"/>
      <c r="K270" s="19"/>
      <c r="L270" s="19"/>
      <c r="M270" s="19"/>
    </row>
    <row r="271" ht="14.1" customHeight="1" spans="1:13">
      <c r="A271" s="19"/>
      <c r="B271" s="19"/>
      <c r="C271" s="19"/>
      <c r="D271" s="19"/>
      <c r="E271" s="19"/>
      <c r="F271" s="19"/>
      <c r="G271" s="19"/>
      <c r="H271" s="21"/>
      <c r="I271" s="21"/>
      <c r="J271" s="19"/>
      <c r="K271" s="19"/>
      <c r="L271" s="19"/>
      <c r="M271" s="19"/>
    </row>
    <row r="272" ht="14.1" customHeight="1" spans="1:13">
      <c r="A272" s="22">
        <v>487</v>
      </c>
      <c r="B272" s="19"/>
      <c r="C272" s="19" t="s">
        <v>486</v>
      </c>
      <c r="D272" s="19" t="s">
        <v>39</v>
      </c>
      <c r="E272" s="24">
        <v>2138</v>
      </c>
      <c r="F272" s="24">
        <v>2500</v>
      </c>
      <c r="G272" s="19"/>
      <c r="H272" s="21"/>
      <c r="I272" s="21"/>
      <c r="J272" s="19"/>
      <c r="K272" s="19"/>
      <c r="L272" s="19"/>
      <c r="M272" s="19"/>
    </row>
    <row r="273" ht="14.1" customHeight="1" spans="1:13">
      <c r="A273" s="19"/>
      <c r="B273" s="19"/>
      <c r="C273" s="19"/>
      <c r="D273" s="19"/>
      <c r="E273" s="19"/>
      <c r="F273" s="19"/>
      <c r="G273" s="19"/>
      <c r="H273" s="21"/>
      <c r="I273" s="21"/>
      <c r="J273" s="19"/>
      <c r="K273" s="19"/>
      <c r="L273" s="19"/>
      <c r="M273" s="19"/>
    </row>
    <row r="274" ht="14.1" customHeight="1" spans="1:13">
      <c r="A274" s="22">
        <v>488</v>
      </c>
      <c r="B274" s="19"/>
      <c r="C274" s="19" t="s">
        <v>487</v>
      </c>
      <c r="D274" s="19" t="s">
        <v>39</v>
      </c>
      <c r="E274" s="24">
        <v>2375</v>
      </c>
      <c r="F274" s="24">
        <v>2433</v>
      </c>
      <c r="G274" s="24">
        <v>2842</v>
      </c>
      <c r="H274" s="23">
        <v>3142</v>
      </c>
      <c r="I274" s="23">
        <v>3783</v>
      </c>
      <c r="J274" s="19"/>
      <c r="K274" s="19"/>
      <c r="L274" s="19"/>
      <c r="M274" s="19"/>
    </row>
    <row r="275" ht="14.1" customHeight="1" spans="1:13">
      <c r="A275" s="19"/>
      <c r="B275" s="19"/>
      <c r="C275" s="19"/>
      <c r="D275" s="19"/>
      <c r="E275" s="19"/>
      <c r="F275" s="19"/>
      <c r="G275" s="19"/>
      <c r="H275" s="21"/>
      <c r="I275" s="21"/>
      <c r="J275" s="19"/>
      <c r="K275" s="19"/>
      <c r="L275" s="19"/>
      <c r="M275" s="19"/>
    </row>
    <row r="276" ht="14.1" customHeight="1" spans="1:13">
      <c r="A276" s="22">
        <v>489</v>
      </c>
      <c r="B276" s="19"/>
      <c r="C276" s="19" t="s">
        <v>488</v>
      </c>
      <c r="D276" s="19" t="s">
        <v>39</v>
      </c>
      <c r="E276" s="24">
        <v>2400</v>
      </c>
      <c r="F276" s="24">
        <v>2800</v>
      </c>
      <c r="G276" s="19"/>
      <c r="H276" s="21"/>
      <c r="I276" s="21"/>
      <c r="J276" s="19"/>
      <c r="K276" s="19"/>
      <c r="L276" s="19"/>
      <c r="M276" s="19"/>
    </row>
    <row r="277" ht="14.1" customHeight="1" spans="1:13">
      <c r="A277" s="19"/>
      <c r="B277" s="19"/>
      <c r="C277" s="19"/>
      <c r="D277" s="19"/>
      <c r="E277" s="19"/>
      <c r="F277" s="19"/>
      <c r="G277" s="19"/>
      <c r="H277" s="21"/>
      <c r="I277" s="21"/>
      <c r="J277" s="19"/>
      <c r="K277" s="19"/>
      <c r="L277" s="19"/>
      <c r="M277" s="19"/>
    </row>
    <row r="278" ht="14.1" customHeight="1" spans="1:13">
      <c r="A278" s="22">
        <v>490</v>
      </c>
      <c r="B278" s="19"/>
      <c r="C278" s="19" t="s">
        <v>489</v>
      </c>
      <c r="D278" s="19" t="s">
        <v>39</v>
      </c>
      <c r="E278" s="24">
        <v>2300</v>
      </c>
      <c r="F278" s="19"/>
      <c r="G278" s="19"/>
      <c r="H278" s="21"/>
      <c r="I278" s="21"/>
      <c r="J278" s="19"/>
      <c r="K278" s="19"/>
      <c r="L278" s="19"/>
      <c r="M278" s="19"/>
    </row>
    <row r="279" ht="14.1" customHeight="1" spans="1:13">
      <c r="A279" s="19"/>
      <c r="B279" s="19"/>
      <c r="C279" s="19"/>
      <c r="D279" s="19"/>
      <c r="E279" s="19"/>
      <c r="F279" s="19"/>
      <c r="G279" s="19"/>
      <c r="H279" s="21"/>
      <c r="I279" s="21"/>
      <c r="J279" s="19"/>
      <c r="K279" s="19"/>
      <c r="L279" s="19"/>
      <c r="M279" s="19"/>
    </row>
    <row r="280" ht="14.1" customHeight="1" spans="1:13">
      <c r="A280" s="19"/>
      <c r="B280" s="19"/>
      <c r="C280" s="20" t="s">
        <v>298</v>
      </c>
      <c r="D280" s="19"/>
      <c r="E280" s="19"/>
      <c r="F280" s="19"/>
      <c r="G280" s="19"/>
      <c r="H280" s="21"/>
      <c r="I280" s="21"/>
      <c r="J280" s="19"/>
      <c r="K280" s="19"/>
      <c r="L280" s="19"/>
      <c r="M280" s="19"/>
    </row>
    <row r="281" ht="14.1" customHeight="1" spans="1:13">
      <c r="A281" s="22">
        <v>491</v>
      </c>
      <c r="B281" s="19"/>
      <c r="C281" s="19" t="s">
        <v>490</v>
      </c>
      <c r="D281" s="19" t="s">
        <v>39</v>
      </c>
      <c r="E281" s="24">
        <v>2725</v>
      </c>
      <c r="F281" s="24">
        <v>3042</v>
      </c>
      <c r="G281" s="24">
        <v>3825</v>
      </c>
      <c r="H281" s="23">
        <v>4175</v>
      </c>
      <c r="I281" s="23">
        <v>4908</v>
      </c>
      <c r="J281" s="24">
        <v>5692</v>
      </c>
      <c r="K281" s="24">
        <v>7450</v>
      </c>
      <c r="L281" s="24">
        <v>8467</v>
      </c>
      <c r="M281" s="19"/>
    </row>
    <row r="282" ht="14.1" customHeight="1" spans="1:13">
      <c r="A282" s="19"/>
      <c r="B282" s="19"/>
      <c r="C282" s="19"/>
      <c r="D282" s="19"/>
      <c r="E282" s="19"/>
      <c r="F282" s="19"/>
      <c r="G282" s="19"/>
      <c r="H282" s="21"/>
      <c r="I282" s="21"/>
      <c r="J282" s="19"/>
      <c r="K282" s="19"/>
      <c r="L282" s="19"/>
      <c r="M282" s="19"/>
    </row>
    <row r="283" ht="14.1" customHeight="1" spans="1:13">
      <c r="A283" s="22">
        <v>492</v>
      </c>
      <c r="B283" s="19"/>
      <c r="C283" s="19" t="s">
        <v>300</v>
      </c>
      <c r="D283" s="19" t="s">
        <v>39</v>
      </c>
      <c r="E283" s="24">
        <v>3150</v>
      </c>
      <c r="F283" s="24">
        <v>3925</v>
      </c>
      <c r="G283" s="24">
        <v>4163</v>
      </c>
      <c r="H283" s="23">
        <v>4438</v>
      </c>
      <c r="I283" s="23">
        <v>5225</v>
      </c>
      <c r="J283" s="19"/>
      <c r="K283" s="19"/>
      <c r="L283" s="19"/>
      <c r="M283" s="19"/>
    </row>
    <row r="284" ht="14.1" customHeight="1" spans="1:13">
      <c r="A284" s="19"/>
      <c r="B284" s="19"/>
      <c r="C284" s="19"/>
      <c r="D284" s="19"/>
      <c r="E284" s="19"/>
      <c r="F284" s="19"/>
      <c r="G284" s="19"/>
      <c r="H284" s="21"/>
      <c r="I284" s="21"/>
      <c r="J284" s="19"/>
      <c r="K284" s="19"/>
      <c r="L284" s="19"/>
      <c r="M284" s="19"/>
    </row>
    <row r="285" ht="14.1" customHeight="1" spans="1:13">
      <c r="A285" s="22">
        <v>493</v>
      </c>
      <c r="B285" s="19"/>
      <c r="C285" s="19" t="s">
        <v>491</v>
      </c>
      <c r="D285" s="19" t="s">
        <v>39</v>
      </c>
      <c r="E285" s="24">
        <v>5692</v>
      </c>
      <c r="F285" s="24">
        <v>6371</v>
      </c>
      <c r="G285" s="24">
        <v>7113</v>
      </c>
      <c r="H285" s="23">
        <v>8030</v>
      </c>
      <c r="I285" s="21"/>
      <c r="J285" s="19"/>
      <c r="K285" s="19"/>
      <c r="L285" s="19"/>
      <c r="M285" s="19"/>
    </row>
    <row r="286" ht="14.1" customHeight="1" spans="1:13">
      <c r="A286" s="19"/>
      <c r="B286" s="19"/>
      <c r="C286" s="19"/>
      <c r="D286" s="19"/>
      <c r="E286" s="19"/>
      <c r="F286" s="19"/>
      <c r="G286" s="19"/>
      <c r="H286" s="21"/>
      <c r="I286" s="21"/>
      <c r="J286" s="19"/>
      <c r="K286" s="19"/>
      <c r="L286" s="19"/>
      <c r="M286" s="19"/>
    </row>
    <row r="287" ht="14.1" customHeight="1" spans="1:13">
      <c r="A287" s="22">
        <v>494</v>
      </c>
      <c r="B287" s="19"/>
      <c r="C287" s="19" t="s">
        <v>492</v>
      </c>
      <c r="D287" s="19" t="s">
        <v>39</v>
      </c>
      <c r="E287" s="19"/>
      <c r="F287" s="19"/>
      <c r="G287" s="19"/>
      <c r="H287" s="21"/>
      <c r="I287" s="21"/>
      <c r="J287" s="19"/>
      <c r="K287" s="19"/>
      <c r="L287" s="24">
        <v>7500</v>
      </c>
      <c r="M287" s="19"/>
    </row>
    <row r="288" ht="14.1" customHeight="1" spans="1:13">
      <c r="A288" s="19"/>
      <c r="B288" s="19"/>
      <c r="C288" s="19"/>
      <c r="D288" s="19"/>
      <c r="E288" s="19"/>
      <c r="F288" s="19"/>
      <c r="G288" s="19"/>
      <c r="H288" s="21"/>
      <c r="I288" s="21"/>
      <c r="J288" s="19"/>
      <c r="K288" s="19"/>
      <c r="L288" s="19"/>
      <c r="M288" s="19"/>
    </row>
    <row r="289" ht="14.1" customHeight="1" spans="1:13">
      <c r="A289" s="22">
        <v>495</v>
      </c>
      <c r="B289" s="19"/>
      <c r="C289" s="19" t="s">
        <v>493</v>
      </c>
      <c r="D289" s="19" t="s">
        <v>39</v>
      </c>
      <c r="E289" s="24">
        <v>1938</v>
      </c>
      <c r="F289" s="24">
        <v>2488</v>
      </c>
      <c r="G289" s="24">
        <v>2863</v>
      </c>
      <c r="H289" s="23">
        <v>3125</v>
      </c>
      <c r="I289" s="23">
        <v>3506</v>
      </c>
      <c r="J289" s="24">
        <v>4267</v>
      </c>
      <c r="K289" s="24">
        <v>4967</v>
      </c>
      <c r="L289" s="24">
        <v>5788</v>
      </c>
      <c r="M289" s="19"/>
    </row>
    <row r="290" ht="14.1" customHeight="1" spans="1:13">
      <c r="A290" s="19"/>
      <c r="B290" s="19"/>
      <c r="C290" s="19"/>
      <c r="D290" s="19"/>
      <c r="E290" s="19"/>
      <c r="F290" s="19"/>
      <c r="G290" s="19"/>
      <c r="H290" s="21"/>
      <c r="I290" s="21"/>
      <c r="J290" s="19"/>
      <c r="K290" s="19"/>
      <c r="L290" s="19"/>
      <c r="M290" s="19"/>
    </row>
    <row r="291" ht="14.1" customHeight="1" spans="1:13">
      <c r="A291" s="22">
        <v>496</v>
      </c>
      <c r="B291" s="19"/>
      <c r="C291" s="19" t="s">
        <v>302</v>
      </c>
      <c r="D291" s="19" t="s">
        <v>39</v>
      </c>
      <c r="E291" s="24">
        <v>2675</v>
      </c>
      <c r="F291" s="24">
        <v>3005</v>
      </c>
      <c r="G291" s="24">
        <v>3315</v>
      </c>
      <c r="H291" s="23">
        <v>3600</v>
      </c>
      <c r="I291" s="23">
        <v>4270</v>
      </c>
      <c r="J291" s="24">
        <v>4956</v>
      </c>
      <c r="K291" s="24">
        <v>6492</v>
      </c>
      <c r="L291" s="24">
        <v>7617</v>
      </c>
      <c r="M291" s="19"/>
    </row>
    <row r="292" ht="14.1" customHeight="1" spans="1:13">
      <c r="A292" s="19"/>
      <c r="B292" s="19"/>
      <c r="C292" s="19"/>
      <c r="D292" s="19"/>
      <c r="E292" s="19"/>
      <c r="F292" s="19"/>
      <c r="G292" s="19"/>
      <c r="H292" s="21"/>
      <c r="I292" s="21"/>
      <c r="J292" s="19"/>
      <c r="K292" s="19"/>
      <c r="L292" s="19"/>
      <c r="M292" s="19"/>
    </row>
    <row r="293" ht="14.1" customHeight="1" spans="1:13">
      <c r="A293" s="22">
        <v>497</v>
      </c>
      <c r="B293" s="19"/>
      <c r="C293" s="19" t="s">
        <v>494</v>
      </c>
      <c r="D293" s="19" t="s">
        <v>39</v>
      </c>
      <c r="E293" s="19"/>
      <c r="F293" s="19"/>
      <c r="G293" s="19"/>
      <c r="H293" s="21"/>
      <c r="I293" s="21"/>
      <c r="J293" s="19"/>
      <c r="K293" s="19"/>
      <c r="L293" s="24">
        <v>9425</v>
      </c>
      <c r="M293" s="19"/>
    </row>
    <row r="294" ht="14.1" customHeight="1" spans="1:13">
      <c r="A294" s="19"/>
      <c r="B294" s="19"/>
      <c r="C294" s="19"/>
      <c r="D294" s="19"/>
      <c r="E294" s="19"/>
      <c r="F294" s="19"/>
      <c r="G294" s="19"/>
      <c r="H294" s="21"/>
      <c r="I294" s="21"/>
      <c r="J294" s="19"/>
      <c r="K294" s="19"/>
      <c r="L294" s="19"/>
      <c r="M294" s="19"/>
    </row>
    <row r="295" ht="14.1" customHeight="1" spans="1:13">
      <c r="A295" s="22">
        <v>498</v>
      </c>
      <c r="B295" s="19"/>
      <c r="C295" s="19" t="s">
        <v>495</v>
      </c>
      <c r="D295" s="19" t="s">
        <v>39</v>
      </c>
      <c r="E295" s="19"/>
      <c r="F295" s="19"/>
      <c r="G295" s="19"/>
      <c r="H295" s="21"/>
      <c r="I295" s="21"/>
      <c r="J295" s="19"/>
      <c r="K295" s="24">
        <v>10450</v>
      </c>
      <c r="L295" s="24">
        <v>12775</v>
      </c>
      <c r="M295" s="19"/>
    </row>
    <row r="296" ht="14.1" customHeight="1" spans="1:13">
      <c r="A296" s="19"/>
      <c r="B296" s="19"/>
      <c r="C296" s="19"/>
      <c r="D296" s="19"/>
      <c r="E296" s="19"/>
      <c r="F296" s="19"/>
      <c r="G296" s="19"/>
      <c r="H296" s="21"/>
      <c r="I296" s="21"/>
      <c r="J296" s="19"/>
      <c r="K296" s="19"/>
      <c r="L296" s="19"/>
      <c r="M296" s="19"/>
    </row>
    <row r="297" ht="14.1" customHeight="1" spans="1:13">
      <c r="A297" s="19"/>
      <c r="B297" s="19"/>
      <c r="C297" s="20" t="s">
        <v>305</v>
      </c>
      <c r="D297" s="19"/>
      <c r="E297" s="19"/>
      <c r="F297" s="19"/>
      <c r="G297" s="19"/>
      <c r="H297" s="21"/>
      <c r="I297" s="21"/>
      <c r="J297" s="19"/>
      <c r="K297" s="19"/>
      <c r="L297" s="19"/>
      <c r="M297" s="19"/>
    </row>
    <row r="298" ht="14.1" customHeight="1" spans="1:13">
      <c r="A298" s="22">
        <v>499</v>
      </c>
      <c r="B298" s="19"/>
      <c r="C298" s="19" t="s">
        <v>496</v>
      </c>
      <c r="D298" s="19" t="s">
        <v>39</v>
      </c>
      <c r="E298" s="24">
        <v>20663</v>
      </c>
      <c r="F298" s="24">
        <v>21792</v>
      </c>
      <c r="G298" s="24">
        <v>22858</v>
      </c>
      <c r="H298" s="23">
        <v>24050</v>
      </c>
      <c r="I298" s="23">
        <v>25963</v>
      </c>
      <c r="J298" s="24">
        <v>27979</v>
      </c>
      <c r="K298" s="24">
        <v>35653</v>
      </c>
      <c r="L298" s="24">
        <v>42938</v>
      </c>
      <c r="M298" s="24">
        <v>49379</v>
      </c>
    </row>
    <row r="299" ht="14.1" customHeight="1" spans="1:13">
      <c r="A299" s="19"/>
      <c r="B299" s="19"/>
      <c r="C299" s="19"/>
      <c r="D299" s="19"/>
      <c r="E299" s="19"/>
      <c r="F299" s="19"/>
      <c r="G299" s="19"/>
      <c r="H299" s="21"/>
      <c r="I299" s="21"/>
      <c r="J299" s="19"/>
      <c r="K299" s="19"/>
      <c r="L299" s="19"/>
      <c r="M299" s="19"/>
    </row>
    <row r="300" ht="14.1" customHeight="1" spans="1:13">
      <c r="A300" s="22">
        <v>500</v>
      </c>
      <c r="B300" s="19"/>
      <c r="C300" s="19" t="s">
        <v>497</v>
      </c>
      <c r="D300" s="19" t="s">
        <v>39</v>
      </c>
      <c r="E300" s="19"/>
      <c r="F300" s="19"/>
      <c r="G300" s="19"/>
      <c r="H300" s="21"/>
      <c r="I300" s="21"/>
      <c r="J300" s="19"/>
      <c r="K300" s="19"/>
      <c r="L300" s="24">
        <v>57588</v>
      </c>
      <c r="M300" s="19"/>
    </row>
    <row r="301" ht="14.1" customHeight="1" spans="1:13">
      <c r="A301" s="19"/>
      <c r="B301" s="19"/>
      <c r="C301" s="19"/>
      <c r="D301" s="19"/>
      <c r="E301" s="19"/>
      <c r="F301" s="19"/>
      <c r="G301" s="19"/>
      <c r="H301" s="21"/>
      <c r="I301" s="21"/>
      <c r="J301" s="19"/>
      <c r="K301" s="19"/>
      <c r="L301" s="19"/>
      <c r="M301" s="19"/>
    </row>
    <row r="302" ht="14.1" customHeight="1" spans="1:13">
      <c r="A302" s="22">
        <v>501</v>
      </c>
      <c r="B302" s="19"/>
      <c r="C302" s="19" t="s">
        <v>498</v>
      </c>
      <c r="D302" s="19" t="s">
        <v>39</v>
      </c>
      <c r="E302" s="19"/>
      <c r="F302" s="19"/>
      <c r="G302" s="19"/>
      <c r="H302" s="21"/>
      <c r="I302" s="21"/>
      <c r="J302" s="19"/>
      <c r="K302" s="19"/>
      <c r="L302" s="24">
        <v>39175</v>
      </c>
      <c r="M302" s="19"/>
    </row>
    <row r="303" ht="14.1" customHeight="1" spans="1:13">
      <c r="A303" s="19"/>
      <c r="B303" s="19"/>
      <c r="C303" s="19"/>
      <c r="D303" s="19"/>
      <c r="E303" s="19"/>
      <c r="F303" s="19"/>
      <c r="G303" s="19"/>
      <c r="H303" s="21"/>
      <c r="I303" s="21"/>
      <c r="J303" s="19"/>
      <c r="K303" s="19"/>
      <c r="L303" s="19"/>
      <c r="M303" s="19"/>
    </row>
    <row r="304" ht="14.1" customHeight="1" spans="1:13">
      <c r="A304" s="22">
        <v>502</v>
      </c>
      <c r="B304" s="19"/>
      <c r="C304" s="19" t="s">
        <v>307</v>
      </c>
      <c r="D304" s="19" t="s">
        <v>39</v>
      </c>
      <c r="E304" s="24">
        <v>8275</v>
      </c>
      <c r="F304" s="24">
        <v>8875</v>
      </c>
      <c r="G304" s="24">
        <v>10300</v>
      </c>
      <c r="H304" s="23">
        <v>10775</v>
      </c>
      <c r="I304" s="23">
        <v>12375</v>
      </c>
      <c r="J304" s="24">
        <v>14275</v>
      </c>
      <c r="K304" s="24">
        <v>17263</v>
      </c>
      <c r="L304" s="24">
        <v>22213</v>
      </c>
      <c r="M304" s="24">
        <v>25545</v>
      </c>
    </row>
    <row r="305" ht="14.1" customHeight="1" spans="1:13">
      <c r="A305" s="19"/>
      <c r="B305" s="19"/>
      <c r="C305" s="19"/>
      <c r="D305" s="19"/>
      <c r="E305" s="19"/>
      <c r="F305" s="19"/>
      <c r="G305" s="19"/>
      <c r="H305" s="21"/>
      <c r="I305" s="21"/>
      <c r="J305" s="19"/>
      <c r="K305" s="19"/>
      <c r="L305" s="19"/>
      <c r="M305" s="19"/>
    </row>
    <row r="306" ht="14.1" customHeight="1" spans="1:13">
      <c r="A306" s="22">
        <v>503</v>
      </c>
      <c r="B306" s="19"/>
      <c r="C306" s="19" t="s">
        <v>499</v>
      </c>
      <c r="D306" s="19" t="s">
        <v>39</v>
      </c>
      <c r="E306" s="19"/>
      <c r="F306" s="19"/>
      <c r="G306" s="19"/>
      <c r="H306" s="21"/>
      <c r="I306" s="21"/>
      <c r="J306" s="19"/>
      <c r="K306" s="19"/>
      <c r="L306" s="19"/>
      <c r="M306" s="24">
        <v>38650</v>
      </c>
    </row>
    <row r="307" ht="14.1" customHeight="1" spans="1:13">
      <c r="A307" s="19"/>
      <c r="B307" s="19"/>
      <c r="C307" s="19"/>
      <c r="D307" s="19"/>
      <c r="E307" s="19"/>
      <c r="F307" s="19"/>
      <c r="G307" s="19"/>
      <c r="H307" s="21"/>
      <c r="I307" s="21"/>
      <c r="J307" s="19"/>
      <c r="K307" s="19"/>
      <c r="L307" s="19"/>
      <c r="M307" s="19"/>
    </row>
    <row r="308" ht="14.1" customHeight="1" spans="1:13">
      <c r="A308" s="19"/>
      <c r="B308" s="19"/>
      <c r="C308" s="20" t="s">
        <v>62</v>
      </c>
      <c r="D308" s="19"/>
      <c r="E308" s="19"/>
      <c r="F308" s="19"/>
      <c r="G308" s="19"/>
      <c r="H308" s="21"/>
      <c r="I308" s="21"/>
      <c r="J308" s="19"/>
      <c r="K308" s="19"/>
      <c r="L308" s="19"/>
      <c r="M308" s="19"/>
    </row>
    <row r="309" ht="14.1" customHeight="1" spans="1:13">
      <c r="A309" s="22">
        <v>504</v>
      </c>
      <c r="B309" s="19"/>
      <c r="C309" s="19" t="s">
        <v>500</v>
      </c>
      <c r="D309" s="19" t="s">
        <v>39</v>
      </c>
      <c r="E309" s="19"/>
      <c r="F309" s="19"/>
      <c r="G309" s="19"/>
      <c r="H309" s="21"/>
      <c r="I309" s="21"/>
      <c r="J309" s="19"/>
      <c r="K309" s="19"/>
      <c r="L309" s="24">
        <v>14288</v>
      </c>
      <c r="M309" s="24">
        <v>16431</v>
      </c>
    </row>
    <row r="310" ht="14.1" customHeight="1" spans="1:13">
      <c r="A310" s="19"/>
      <c r="B310" s="19"/>
      <c r="C310" s="19"/>
      <c r="D310" s="19"/>
      <c r="E310" s="19"/>
      <c r="F310" s="19"/>
      <c r="G310" s="19"/>
      <c r="H310" s="21"/>
      <c r="I310" s="21"/>
      <c r="J310" s="19"/>
      <c r="K310" s="19"/>
      <c r="L310" s="19"/>
      <c r="M310" s="19"/>
    </row>
    <row r="311" ht="14.1" customHeight="1" spans="1:13">
      <c r="A311" s="22">
        <v>505</v>
      </c>
      <c r="B311" s="19"/>
      <c r="C311" s="19" t="s">
        <v>334</v>
      </c>
      <c r="D311" s="19" t="s">
        <v>39</v>
      </c>
      <c r="E311" s="19"/>
      <c r="F311" s="19"/>
      <c r="G311" s="19"/>
      <c r="H311" s="21"/>
      <c r="I311" s="21"/>
      <c r="J311" s="19"/>
      <c r="K311" s="19"/>
      <c r="L311" s="19"/>
      <c r="M311" s="24">
        <v>13258</v>
      </c>
    </row>
    <row r="312" ht="14.1" customHeight="1" spans="1:13">
      <c r="A312" s="19"/>
      <c r="B312" s="19"/>
      <c r="C312" s="19"/>
      <c r="D312" s="19"/>
      <c r="E312" s="19"/>
      <c r="F312" s="19"/>
      <c r="G312" s="19"/>
      <c r="H312" s="21"/>
      <c r="I312" s="21"/>
      <c r="J312" s="19"/>
      <c r="K312" s="19"/>
      <c r="L312" s="19"/>
      <c r="M312" s="19"/>
    </row>
    <row r="313" ht="14.1" customHeight="1" spans="1:13">
      <c r="A313" s="22">
        <v>506</v>
      </c>
      <c r="B313" s="19"/>
      <c r="C313" s="19" t="s">
        <v>501</v>
      </c>
      <c r="D313" s="19" t="s">
        <v>39</v>
      </c>
      <c r="E313" s="19"/>
      <c r="F313" s="24">
        <v>4263</v>
      </c>
      <c r="G313" s="24">
        <v>5425</v>
      </c>
      <c r="H313" s="23">
        <v>5913</v>
      </c>
      <c r="I313" s="23">
        <v>6431</v>
      </c>
      <c r="J313" s="24">
        <v>7750</v>
      </c>
      <c r="K313" s="24">
        <v>9865</v>
      </c>
      <c r="L313" s="24">
        <v>11655</v>
      </c>
      <c r="M313" s="19"/>
    </row>
    <row r="314" ht="14.1" customHeight="1" spans="1:13">
      <c r="A314" s="19"/>
      <c r="B314" s="19"/>
      <c r="C314" s="19"/>
      <c r="D314" s="19"/>
      <c r="E314" s="19"/>
      <c r="F314" s="19"/>
      <c r="G314" s="19"/>
      <c r="H314" s="21"/>
      <c r="I314" s="21"/>
      <c r="J314" s="19"/>
      <c r="K314" s="19"/>
      <c r="L314" s="19"/>
      <c r="M314" s="19"/>
    </row>
    <row r="315" ht="14.1" customHeight="1" spans="1:13">
      <c r="A315" s="19"/>
      <c r="B315" s="19"/>
      <c r="C315" s="20" t="s">
        <v>344</v>
      </c>
      <c r="D315" s="19"/>
      <c r="E315" s="19"/>
      <c r="F315" s="19"/>
      <c r="G315" s="19"/>
      <c r="H315" s="21"/>
      <c r="I315" s="21"/>
      <c r="J315" s="19"/>
      <c r="K315" s="19"/>
      <c r="L315" s="19"/>
      <c r="M315" s="19"/>
    </row>
    <row r="316" ht="14.1" customHeight="1" spans="1:13">
      <c r="A316" s="22">
        <v>507</v>
      </c>
      <c r="B316" s="19"/>
      <c r="C316" s="19" t="s">
        <v>502</v>
      </c>
      <c r="D316" s="19" t="s">
        <v>39</v>
      </c>
      <c r="E316" s="19"/>
      <c r="F316" s="19"/>
      <c r="G316" s="19"/>
      <c r="H316" s="21"/>
      <c r="I316" s="21"/>
      <c r="J316" s="19"/>
      <c r="K316" s="24">
        <v>15788</v>
      </c>
      <c r="L316" s="24">
        <v>21613</v>
      </c>
      <c r="M316" s="19"/>
    </row>
    <row r="317" ht="14.1" customHeight="1" spans="1:13">
      <c r="A317" s="19"/>
      <c r="B317" s="19"/>
      <c r="C317" s="19"/>
      <c r="D317" s="19"/>
      <c r="E317" s="19"/>
      <c r="F317" s="19"/>
      <c r="G317" s="19"/>
      <c r="H317" s="21"/>
      <c r="I317" s="21"/>
      <c r="J317" s="19"/>
      <c r="K317" s="19"/>
      <c r="L317" s="19"/>
      <c r="M317" s="19"/>
    </row>
    <row r="318" ht="14.1" customHeight="1" spans="1:13">
      <c r="A318" s="19"/>
      <c r="B318" s="19"/>
      <c r="C318" s="20" t="s">
        <v>67</v>
      </c>
      <c r="D318" s="19"/>
      <c r="E318" s="19"/>
      <c r="F318" s="19"/>
      <c r="G318" s="19"/>
      <c r="H318" s="21"/>
      <c r="I318" s="21"/>
      <c r="J318" s="19"/>
      <c r="K318" s="19"/>
      <c r="L318" s="19"/>
      <c r="M318" s="19"/>
    </row>
    <row r="319" ht="14.1" customHeight="1" spans="1:13">
      <c r="A319" s="22">
        <v>508</v>
      </c>
      <c r="B319" s="19"/>
      <c r="C319" s="19" t="s">
        <v>372</v>
      </c>
      <c r="D319" s="19" t="s">
        <v>39</v>
      </c>
      <c r="E319" s="19"/>
      <c r="F319" s="19"/>
      <c r="G319" s="19"/>
      <c r="H319" s="21"/>
      <c r="I319" s="21"/>
      <c r="J319" s="19"/>
      <c r="K319" s="19"/>
      <c r="L319" s="19"/>
      <c r="M319" s="24">
        <v>16125</v>
      </c>
    </row>
    <row r="320" ht="14.1" customHeight="1" spans="1:13">
      <c r="A320" s="19"/>
      <c r="B320" s="19"/>
      <c r="C320" s="19"/>
      <c r="D320" s="19"/>
      <c r="E320" s="19"/>
      <c r="F320" s="19"/>
      <c r="G320" s="19"/>
      <c r="H320" s="21"/>
      <c r="I320" s="21"/>
      <c r="J320" s="19"/>
      <c r="K320" s="19"/>
      <c r="L320" s="19"/>
      <c r="M320" s="19"/>
    </row>
    <row r="321" ht="14.1" customHeight="1" spans="1:13">
      <c r="A321" s="22">
        <v>509</v>
      </c>
      <c r="B321" s="19"/>
      <c r="C321" s="19" t="s">
        <v>503</v>
      </c>
      <c r="D321" s="19" t="s">
        <v>39</v>
      </c>
      <c r="E321" s="19"/>
      <c r="F321" s="19"/>
      <c r="G321" s="19"/>
      <c r="H321" s="21"/>
      <c r="I321" s="21"/>
      <c r="J321" s="19"/>
      <c r="K321" s="19"/>
      <c r="L321" s="19"/>
      <c r="M321" s="24">
        <v>21083</v>
      </c>
    </row>
    <row r="322" ht="14.1" customHeight="1" spans="1:13">
      <c r="A322" s="19"/>
      <c r="B322" s="19"/>
      <c r="C322" s="19"/>
      <c r="D322" s="19"/>
      <c r="E322" s="19"/>
      <c r="F322" s="19"/>
      <c r="G322" s="19"/>
      <c r="H322" s="21"/>
      <c r="I322" s="21"/>
      <c r="J322" s="19"/>
      <c r="K322" s="19"/>
      <c r="L322" s="19"/>
      <c r="M322" s="19"/>
    </row>
    <row r="323" ht="14.1" customHeight="1" spans="1:13">
      <c r="A323" s="2"/>
      <c r="B323" s="2"/>
      <c r="C323" s="2" t="s">
        <v>504</v>
      </c>
      <c r="D323" s="2"/>
      <c r="E323" s="2"/>
      <c r="F323" s="2"/>
      <c r="G323" s="2"/>
      <c r="H323" s="4"/>
      <c r="I323" s="4"/>
      <c r="J323" s="2"/>
      <c r="K323" s="2"/>
      <c r="L323" s="2"/>
      <c r="M323" s="2"/>
    </row>
    <row r="324" ht="14.1" customHeight="1" spans="1:13">
      <c r="A324" s="6"/>
      <c r="B324" s="5"/>
      <c r="C324" s="5" t="s">
        <v>381</v>
      </c>
      <c r="D324" s="5"/>
      <c r="E324" s="6"/>
      <c r="F324" s="6"/>
      <c r="G324" s="6"/>
      <c r="H324" s="8"/>
      <c r="I324" s="8"/>
      <c r="J324" s="6"/>
      <c r="K324" s="6"/>
      <c r="L324" s="6"/>
      <c r="M324" s="6"/>
    </row>
    <row r="325" ht="14.1" customHeight="1" spans="1:13">
      <c r="A325" s="5"/>
      <c r="B325" s="5"/>
      <c r="C325" s="6"/>
      <c r="D325" s="5"/>
      <c r="E325" s="5"/>
      <c r="F325" s="5"/>
      <c r="G325" s="5"/>
      <c r="H325" s="11"/>
      <c r="I325" s="11"/>
      <c r="J325" s="5"/>
      <c r="K325" s="5"/>
      <c r="L325" s="5"/>
      <c r="M325" s="5"/>
    </row>
    <row r="326" ht="14.1" customHeight="1" spans="1:13">
      <c r="A326" s="6"/>
      <c r="B326" s="5"/>
      <c r="C326" s="6"/>
      <c r="D326" s="5"/>
      <c r="E326" s="6"/>
      <c r="F326" s="6"/>
      <c r="G326" s="6"/>
      <c r="H326" s="8"/>
      <c r="I326" s="8"/>
      <c r="J326" s="6"/>
      <c r="K326" s="6"/>
      <c r="L326" s="6"/>
      <c r="M326" s="6"/>
    </row>
    <row r="327" ht="14.1" customHeight="1" spans="1:13">
      <c r="A327" s="25">
        <v>510</v>
      </c>
      <c r="B327" s="14"/>
      <c r="C327" s="31"/>
      <c r="D327" s="14"/>
      <c r="E327" s="26">
        <v>4320</v>
      </c>
      <c r="F327" s="26">
        <v>4889</v>
      </c>
      <c r="G327" s="26">
        <v>5969</v>
      </c>
      <c r="H327" s="27">
        <v>6729</v>
      </c>
      <c r="I327" s="27">
        <v>7846</v>
      </c>
      <c r="J327" s="26">
        <v>9540</v>
      </c>
      <c r="K327" s="26">
        <v>11952</v>
      </c>
      <c r="L327" s="26">
        <v>16350</v>
      </c>
      <c r="M327" s="26">
        <v>20753</v>
      </c>
    </row>
    <row r="328" ht="14.1" customHeight="1" spans="1:13">
      <c r="A328" s="19"/>
      <c r="B328" s="19"/>
      <c r="C328" s="19"/>
      <c r="D328" s="19"/>
      <c r="E328" s="19"/>
      <c r="F328" s="19"/>
      <c r="G328" s="19"/>
      <c r="H328" s="21"/>
      <c r="I328" s="21"/>
      <c r="J328" s="19"/>
      <c r="K328" s="19"/>
      <c r="L328" s="19"/>
      <c r="M328" s="19"/>
    </row>
  </sheetData>
  <mergeCells count="4">
    <mergeCell ref="A1:A7"/>
    <mergeCell ref="B323:B327"/>
    <mergeCell ref="C1:C7"/>
    <mergeCell ref="D323:D32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"/>
  <sheetViews>
    <sheetView topLeftCell="A151" workbookViewId="0">
      <selection activeCell="I185" sqref="I185"/>
    </sheetView>
  </sheetViews>
  <sheetFormatPr defaultColWidth="11.4259259259259" defaultRowHeight="14.4"/>
  <cols>
    <col min="1" max="2" width="12.712962962963" customWidth="1"/>
    <col min="3" max="3" width="36" customWidth="1"/>
    <col min="4" max="4" width="21" customWidth="1"/>
    <col min="5" max="7" width="12.712962962963" customWidth="1"/>
    <col min="8" max="9" width="12.712962962963" style="1" customWidth="1"/>
    <col min="10" max="13" width="12.712962962963" customWidth="1"/>
  </cols>
  <sheetData>
    <row r="1" spans="1:13">
      <c r="E1" s="35">
        <v>2009</v>
      </c>
      <c r="F1" s="35">
        <v>2010</v>
      </c>
      <c r="G1" s="35">
        <v>2011</v>
      </c>
      <c r="H1" s="35">
        <v>2012</v>
      </c>
      <c r="I1" s="35">
        <v>2013</v>
      </c>
      <c r="J1" s="35">
        <v>2014</v>
      </c>
      <c r="K1" s="35">
        <v>2015</v>
      </c>
      <c r="L1" s="35">
        <v>2016</v>
      </c>
      <c r="M1" s="35">
        <v>2017</v>
      </c>
    </row>
    <row r="2" ht="14.1" customHeight="1" spans="1:13">
      <c r="A2" s="19"/>
      <c r="B2" s="19"/>
      <c r="C2" s="36" t="s">
        <v>505</v>
      </c>
      <c r="D2" s="34" t="s">
        <v>26</v>
      </c>
      <c r="E2" s="29" t="s">
        <v>27</v>
      </c>
      <c r="F2" s="18" t="s">
        <v>28</v>
      </c>
      <c r="G2" s="18" t="s">
        <v>29</v>
      </c>
      <c r="H2" s="18" t="s">
        <v>30</v>
      </c>
      <c r="I2" s="18" t="s">
        <v>31</v>
      </c>
      <c r="J2" s="18" t="s">
        <v>32</v>
      </c>
      <c r="K2" s="18" t="s">
        <v>33</v>
      </c>
      <c r="L2" s="18" t="s">
        <v>34</v>
      </c>
      <c r="M2" s="18" t="s">
        <v>35</v>
      </c>
    </row>
    <row r="3" ht="14.1" customHeight="1" spans="1:13">
      <c r="A3" s="19"/>
      <c r="B3" s="19"/>
      <c r="C3" s="20" t="s">
        <v>158</v>
      </c>
      <c r="D3" s="19"/>
      <c r="E3" s="19"/>
      <c r="F3" s="19"/>
      <c r="G3" s="19"/>
      <c r="H3" s="21"/>
      <c r="I3" s="21"/>
      <c r="J3" s="19"/>
      <c r="K3" s="19"/>
      <c r="L3" s="19"/>
      <c r="M3" s="19"/>
    </row>
    <row r="4" ht="14.1" customHeight="1" spans="1:13">
      <c r="A4" s="22">
        <v>290</v>
      </c>
      <c r="B4" s="19"/>
      <c r="C4" s="19" t="s">
        <v>506</v>
      </c>
      <c r="D4" s="19" t="s">
        <v>39</v>
      </c>
      <c r="E4" s="19"/>
      <c r="F4" s="19"/>
      <c r="G4" s="19"/>
      <c r="H4" s="21"/>
      <c r="I4" s="21"/>
      <c r="J4" s="19"/>
      <c r="K4" s="19"/>
      <c r="L4" s="19"/>
      <c r="M4" s="24">
        <v>18394</v>
      </c>
    </row>
    <row r="5" ht="14.1" customHeight="1" spans="1:13">
      <c r="A5" s="19"/>
      <c r="B5" s="19"/>
      <c r="C5" s="19"/>
      <c r="D5" s="19"/>
      <c r="E5" s="19"/>
      <c r="F5" s="19"/>
      <c r="G5" s="19"/>
      <c r="H5" s="21"/>
      <c r="I5" s="21"/>
      <c r="J5" s="19"/>
      <c r="K5" s="19"/>
      <c r="L5" s="19"/>
      <c r="M5" s="19"/>
    </row>
    <row r="6" ht="14.1" customHeight="1" spans="1:13">
      <c r="A6" s="19"/>
      <c r="B6" s="19"/>
      <c r="C6" s="20" t="s">
        <v>164</v>
      </c>
      <c r="D6" s="19"/>
      <c r="E6" s="19"/>
      <c r="F6" s="19"/>
      <c r="G6" s="19"/>
      <c r="H6" s="21"/>
      <c r="I6" s="21"/>
      <c r="J6" s="19"/>
      <c r="K6" s="19"/>
      <c r="L6" s="19"/>
      <c r="M6" s="19"/>
    </row>
    <row r="7" ht="14.1" customHeight="1" spans="1:13">
      <c r="A7" s="22">
        <v>291</v>
      </c>
      <c r="B7" s="19"/>
      <c r="C7" s="19" t="s">
        <v>507</v>
      </c>
      <c r="D7" s="19" t="s">
        <v>39</v>
      </c>
      <c r="E7" s="19"/>
      <c r="F7" s="19"/>
      <c r="G7" s="19"/>
      <c r="H7" s="21"/>
      <c r="I7" s="21"/>
      <c r="J7" s="19"/>
      <c r="K7" s="19"/>
      <c r="L7" s="19"/>
      <c r="M7" s="24">
        <v>22825</v>
      </c>
    </row>
    <row r="8" ht="14.1" customHeight="1" spans="1:13">
      <c r="A8" s="19"/>
      <c r="B8" s="19"/>
      <c r="C8" s="19"/>
      <c r="D8" s="19"/>
      <c r="E8" s="19"/>
      <c r="F8" s="19"/>
      <c r="G8" s="19"/>
      <c r="H8" s="21"/>
      <c r="I8" s="21"/>
      <c r="J8" s="19"/>
      <c r="K8" s="19"/>
      <c r="L8" s="19"/>
      <c r="M8" s="19"/>
    </row>
    <row r="9" ht="14.1" customHeight="1" spans="1:13">
      <c r="A9" s="22">
        <v>292</v>
      </c>
      <c r="B9" s="19"/>
      <c r="C9" s="19" t="s">
        <v>508</v>
      </c>
      <c r="D9" s="19" t="s">
        <v>39</v>
      </c>
      <c r="E9" s="19"/>
      <c r="F9" s="19"/>
      <c r="G9" s="19"/>
      <c r="H9" s="21"/>
      <c r="I9" s="21"/>
      <c r="J9" s="19"/>
      <c r="K9" s="19"/>
      <c r="L9" s="19"/>
      <c r="M9" s="24">
        <v>32386</v>
      </c>
    </row>
    <row r="10" ht="14.1" customHeight="1" spans="1:13">
      <c r="A10" s="19"/>
      <c r="B10" s="19"/>
      <c r="C10" s="19"/>
      <c r="D10" s="19"/>
      <c r="E10" s="19"/>
      <c r="F10" s="19"/>
      <c r="G10" s="19"/>
      <c r="H10" s="21"/>
      <c r="I10" s="21"/>
      <c r="J10" s="19"/>
      <c r="K10" s="19"/>
      <c r="L10" s="19"/>
      <c r="M10" s="19"/>
    </row>
    <row r="11" ht="14.1" customHeight="1" spans="1:13">
      <c r="A11" s="19"/>
      <c r="B11" s="19"/>
      <c r="C11" s="20" t="s">
        <v>181</v>
      </c>
      <c r="D11" s="19"/>
      <c r="E11" s="19"/>
      <c r="F11" s="19"/>
      <c r="G11" s="19"/>
      <c r="H11" s="21"/>
      <c r="I11" s="21"/>
      <c r="J11" s="19"/>
      <c r="K11" s="19"/>
      <c r="L11" s="19"/>
      <c r="M11" s="19"/>
    </row>
    <row r="12" ht="14.1" customHeight="1" spans="1:13">
      <c r="A12" s="22">
        <v>293</v>
      </c>
      <c r="B12" s="19"/>
      <c r="C12" s="19" t="s">
        <v>509</v>
      </c>
      <c r="D12" s="19" t="s">
        <v>39</v>
      </c>
      <c r="E12" s="19"/>
      <c r="F12" s="19"/>
      <c r="G12" s="19"/>
      <c r="H12" s="21"/>
      <c r="I12" s="21"/>
      <c r="J12" s="19"/>
      <c r="K12" s="24">
        <v>8100</v>
      </c>
      <c r="L12" s="24">
        <v>10100</v>
      </c>
      <c r="M12" s="19"/>
    </row>
    <row r="13" ht="14.1" customHeight="1" spans="1:13">
      <c r="A13" s="19"/>
      <c r="B13" s="19"/>
      <c r="C13" s="19"/>
      <c r="D13" s="19"/>
      <c r="E13" s="19"/>
      <c r="F13" s="19"/>
      <c r="G13" s="19"/>
      <c r="H13" s="21"/>
      <c r="I13" s="21"/>
      <c r="J13" s="19"/>
      <c r="K13" s="19"/>
      <c r="L13" s="19"/>
      <c r="M13" s="19"/>
    </row>
    <row r="14" ht="14.1" customHeight="1" spans="1:13">
      <c r="A14" s="19"/>
      <c r="B14" s="19"/>
      <c r="C14" s="20" t="s">
        <v>176</v>
      </c>
      <c r="D14" s="19"/>
      <c r="E14" s="19"/>
      <c r="F14" s="19"/>
      <c r="G14" s="19"/>
      <c r="H14" s="21"/>
      <c r="I14" s="21"/>
      <c r="J14" s="19"/>
      <c r="K14" s="19"/>
      <c r="L14" s="19"/>
      <c r="M14" s="19"/>
    </row>
    <row r="15" ht="14.1" customHeight="1" spans="1:13">
      <c r="A15" s="22">
        <v>294</v>
      </c>
      <c r="B15" s="19"/>
      <c r="C15" s="19" t="s">
        <v>510</v>
      </c>
      <c r="D15" s="19" t="s">
        <v>39</v>
      </c>
      <c r="E15" s="19"/>
      <c r="F15" s="19"/>
      <c r="G15" s="19"/>
      <c r="H15" s="21"/>
      <c r="I15" s="21"/>
      <c r="J15" s="19"/>
      <c r="K15" s="24">
        <v>15825</v>
      </c>
      <c r="L15" s="24">
        <v>15925</v>
      </c>
      <c r="M15" s="24">
        <v>18314</v>
      </c>
    </row>
    <row r="16" ht="14.1" customHeight="1" spans="1:13">
      <c r="A16" s="19"/>
      <c r="B16" s="19"/>
      <c r="C16" s="19"/>
      <c r="D16" s="19"/>
      <c r="E16" s="19"/>
      <c r="F16" s="19"/>
      <c r="G16" s="19"/>
      <c r="H16" s="21"/>
      <c r="I16" s="21"/>
      <c r="J16" s="19"/>
      <c r="K16" s="19"/>
      <c r="L16" s="19"/>
      <c r="M16" s="19"/>
    </row>
    <row r="17" ht="14.1" customHeight="1" spans="1:13">
      <c r="A17" s="22">
        <v>295</v>
      </c>
      <c r="B17" s="19"/>
      <c r="C17" s="19" t="s">
        <v>511</v>
      </c>
      <c r="D17" s="19" t="s">
        <v>39</v>
      </c>
      <c r="E17" s="19"/>
      <c r="F17" s="19"/>
      <c r="G17" s="19"/>
      <c r="H17" s="23">
        <v>11125</v>
      </c>
      <c r="I17" s="23">
        <v>12250</v>
      </c>
      <c r="J17" s="24">
        <v>13850</v>
      </c>
      <c r="K17" s="24">
        <v>16225</v>
      </c>
      <c r="L17" s="24">
        <v>18900</v>
      </c>
      <c r="M17" s="24">
        <v>21735</v>
      </c>
    </row>
    <row r="18" ht="14.1" customHeight="1" spans="1:13">
      <c r="A18" s="19"/>
      <c r="B18" s="19"/>
      <c r="C18" s="19"/>
      <c r="D18" s="19"/>
      <c r="E18" s="19"/>
      <c r="F18" s="19"/>
      <c r="G18" s="19"/>
      <c r="H18" s="21"/>
      <c r="I18" s="21"/>
      <c r="J18" s="19"/>
      <c r="K18" s="19"/>
      <c r="L18" s="19"/>
      <c r="M18" s="19"/>
    </row>
    <row r="19" ht="14.1" customHeight="1" spans="1:13">
      <c r="A19" s="22">
        <v>296</v>
      </c>
      <c r="B19" s="19"/>
      <c r="C19" s="19" t="s">
        <v>512</v>
      </c>
      <c r="D19" s="19" t="s">
        <v>39</v>
      </c>
      <c r="E19" s="19"/>
      <c r="F19" s="19"/>
      <c r="G19" s="19"/>
      <c r="H19" s="21"/>
      <c r="I19" s="21"/>
      <c r="J19" s="19"/>
      <c r="K19" s="19"/>
      <c r="L19" s="19"/>
      <c r="M19" s="24">
        <v>36400</v>
      </c>
    </row>
    <row r="20" ht="14.1" customHeight="1" spans="1:13">
      <c r="A20" s="19"/>
      <c r="B20" s="19"/>
      <c r="C20" s="19"/>
      <c r="D20" s="19"/>
      <c r="E20" s="19"/>
      <c r="F20" s="19"/>
      <c r="G20" s="19"/>
      <c r="H20" s="21"/>
      <c r="I20" s="21"/>
      <c r="J20" s="19"/>
      <c r="K20" s="19"/>
      <c r="L20" s="19"/>
      <c r="M20" s="19"/>
    </row>
    <row r="21" ht="14.1" customHeight="1" spans="1:13">
      <c r="A21" s="19"/>
      <c r="B21" s="19"/>
      <c r="C21" s="20" t="s">
        <v>37</v>
      </c>
      <c r="D21" s="19"/>
      <c r="E21" s="19"/>
      <c r="F21" s="19"/>
      <c r="G21" s="19"/>
      <c r="H21" s="21"/>
      <c r="I21" s="21"/>
      <c r="J21" s="19"/>
      <c r="K21" s="19"/>
      <c r="L21" s="19"/>
      <c r="M21" s="19"/>
    </row>
    <row r="22" ht="14.1" customHeight="1" spans="1:13">
      <c r="A22" s="22">
        <v>297</v>
      </c>
      <c r="B22" s="19"/>
      <c r="C22" s="19" t="s">
        <v>513</v>
      </c>
      <c r="D22" s="19" t="s">
        <v>39</v>
      </c>
      <c r="E22" s="19"/>
      <c r="F22" s="19"/>
      <c r="G22" s="19"/>
      <c r="H22" s="21"/>
      <c r="I22" s="21"/>
      <c r="J22" s="19"/>
      <c r="K22" s="19"/>
      <c r="L22" s="19"/>
      <c r="M22" s="24">
        <v>14135</v>
      </c>
    </row>
    <row r="23" ht="14.1" customHeight="1" spans="1:13">
      <c r="A23" s="19"/>
      <c r="B23" s="19"/>
      <c r="C23" s="19"/>
      <c r="D23" s="19"/>
      <c r="E23" s="19"/>
      <c r="F23" s="19"/>
      <c r="G23" s="19"/>
      <c r="H23" s="21"/>
      <c r="I23" s="21"/>
      <c r="J23" s="19"/>
      <c r="K23" s="19"/>
      <c r="L23" s="19"/>
      <c r="M23" s="19"/>
    </row>
    <row r="24" ht="14.1" customHeight="1" spans="1:13">
      <c r="A24" s="22">
        <v>298</v>
      </c>
      <c r="B24" s="19"/>
      <c r="C24" s="19" t="s">
        <v>514</v>
      </c>
      <c r="D24" s="19" t="s">
        <v>39</v>
      </c>
      <c r="E24" s="19"/>
      <c r="F24" s="19"/>
      <c r="G24" s="19"/>
      <c r="H24" s="21"/>
      <c r="I24" s="21"/>
      <c r="J24" s="19"/>
      <c r="K24" s="19"/>
      <c r="L24" s="19"/>
      <c r="M24" s="24">
        <v>14438</v>
      </c>
    </row>
    <row r="25" ht="14.1" customHeight="1" spans="1:13">
      <c r="A25" s="19"/>
      <c r="B25" s="19"/>
      <c r="C25" s="19"/>
      <c r="D25" s="19"/>
      <c r="E25" s="19"/>
      <c r="F25" s="19"/>
      <c r="G25" s="19"/>
      <c r="H25" s="21"/>
      <c r="I25" s="21"/>
      <c r="J25" s="19"/>
      <c r="K25" s="19"/>
      <c r="L25" s="19"/>
      <c r="M25" s="19"/>
    </row>
    <row r="26" ht="14.1" customHeight="1" spans="1:13">
      <c r="A26" s="22">
        <v>299</v>
      </c>
      <c r="B26" s="19"/>
      <c r="C26" s="19" t="s">
        <v>515</v>
      </c>
      <c r="D26" s="19" t="s">
        <v>39</v>
      </c>
      <c r="E26" s="19"/>
      <c r="F26" s="24">
        <v>2563</v>
      </c>
      <c r="G26" s="24">
        <v>2900</v>
      </c>
      <c r="H26" s="23">
        <v>3300</v>
      </c>
      <c r="I26" s="23">
        <v>3900</v>
      </c>
      <c r="J26" s="24">
        <v>4500</v>
      </c>
      <c r="K26" s="19"/>
      <c r="L26" s="19"/>
      <c r="M26" s="19"/>
    </row>
    <row r="27" ht="14.1" customHeight="1" spans="1:13">
      <c r="A27" s="19"/>
      <c r="B27" s="19"/>
      <c r="C27" s="19"/>
      <c r="D27" s="19"/>
      <c r="E27" s="19"/>
      <c r="F27" s="19"/>
      <c r="G27" s="19"/>
      <c r="H27" s="21"/>
      <c r="I27" s="21"/>
      <c r="J27" s="19"/>
      <c r="K27" s="19"/>
      <c r="L27" s="19"/>
      <c r="M27" s="19"/>
    </row>
    <row r="28" ht="14.1" customHeight="1" spans="1:13">
      <c r="A28" s="22">
        <v>300</v>
      </c>
      <c r="B28" s="19"/>
      <c r="C28" s="19" t="s">
        <v>516</v>
      </c>
      <c r="D28" s="19" t="s">
        <v>39</v>
      </c>
      <c r="E28" s="19"/>
      <c r="F28" s="19"/>
      <c r="G28" s="19"/>
      <c r="H28" s="23">
        <v>3983</v>
      </c>
      <c r="I28" s="23">
        <v>4750</v>
      </c>
      <c r="J28" s="24">
        <v>5400</v>
      </c>
      <c r="K28" s="24">
        <v>5915</v>
      </c>
      <c r="L28" s="19"/>
      <c r="M28" s="19"/>
    </row>
    <row r="29" ht="14.1" customHeight="1" spans="1:13">
      <c r="A29" s="19"/>
      <c r="B29" s="19"/>
      <c r="C29" s="19"/>
      <c r="D29" s="19"/>
      <c r="E29" s="19"/>
      <c r="F29" s="19"/>
      <c r="G29" s="19"/>
      <c r="H29" s="21"/>
      <c r="I29" s="21"/>
      <c r="J29" s="19"/>
      <c r="K29" s="19"/>
      <c r="L29" s="19"/>
      <c r="M29" s="19"/>
    </row>
    <row r="30" ht="14.1" customHeight="1" spans="1:13">
      <c r="A30" s="19"/>
      <c r="B30" s="19"/>
      <c r="C30" s="20" t="s">
        <v>193</v>
      </c>
      <c r="D30" s="19"/>
      <c r="E30" s="19"/>
      <c r="F30" s="19"/>
      <c r="G30" s="19"/>
      <c r="H30" s="21"/>
      <c r="I30" s="21"/>
      <c r="J30" s="19"/>
      <c r="K30" s="19"/>
      <c r="L30" s="19"/>
      <c r="M30" s="19"/>
    </row>
    <row r="31" ht="14.1" customHeight="1" spans="1:13">
      <c r="A31" s="22">
        <v>301</v>
      </c>
      <c r="B31" s="19"/>
      <c r="C31" s="19" t="s">
        <v>517</v>
      </c>
      <c r="D31" s="19" t="s">
        <v>39</v>
      </c>
      <c r="E31" s="19"/>
      <c r="F31" s="19"/>
      <c r="G31" s="19"/>
      <c r="H31" s="21"/>
      <c r="I31" s="23">
        <v>2800</v>
      </c>
      <c r="J31" s="19"/>
      <c r="K31" s="19"/>
      <c r="L31" s="19"/>
      <c r="M31" s="19"/>
    </row>
    <row r="32" ht="14.1" customHeight="1" spans="1:13">
      <c r="A32" s="19"/>
      <c r="B32" s="19"/>
      <c r="C32" s="19"/>
      <c r="D32" s="19"/>
      <c r="E32" s="19"/>
      <c r="F32" s="19"/>
      <c r="G32" s="19"/>
      <c r="H32" s="21"/>
      <c r="I32" s="21"/>
      <c r="J32" s="19"/>
      <c r="K32" s="19"/>
      <c r="L32" s="19"/>
      <c r="M32" s="19"/>
    </row>
    <row r="33" ht="14.1" customHeight="1" spans="1:13">
      <c r="A33" s="19"/>
      <c r="B33" s="19"/>
      <c r="C33" s="20" t="s">
        <v>204</v>
      </c>
      <c r="D33" s="19"/>
      <c r="E33" s="19"/>
      <c r="F33" s="19"/>
      <c r="G33" s="19"/>
      <c r="H33" s="21"/>
      <c r="I33" s="21"/>
      <c r="J33" s="19"/>
      <c r="K33" s="19"/>
      <c r="L33" s="19"/>
      <c r="M33" s="19"/>
    </row>
    <row r="34" ht="14.1" customHeight="1" spans="1:13">
      <c r="A34" s="22">
        <v>302</v>
      </c>
      <c r="B34" s="19"/>
      <c r="C34" s="19" t="s">
        <v>518</v>
      </c>
      <c r="D34" s="19" t="s">
        <v>39</v>
      </c>
      <c r="E34" s="19"/>
      <c r="F34" s="19"/>
      <c r="G34" s="19"/>
      <c r="H34" s="21"/>
      <c r="I34" s="21"/>
      <c r="J34" s="19"/>
      <c r="K34" s="19"/>
      <c r="L34" s="19"/>
      <c r="M34" s="24">
        <v>9105</v>
      </c>
    </row>
    <row r="35" ht="14.1" customHeight="1" spans="1:13">
      <c r="A35" s="19"/>
      <c r="B35" s="19"/>
      <c r="C35" s="19"/>
      <c r="D35" s="19"/>
      <c r="E35" s="19"/>
      <c r="F35" s="19"/>
      <c r="G35" s="19"/>
      <c r="H35" s="21"/>
      <c r="I35" s="21"/>
      <c r="J35" s="19"/>
      <c r="K35" s="19"/>
      <c r="L35" s="19"/>
      <c r="M35" s="19"/>
    </row>
    <row r="36" ht="14.1" customHeight="1" spans="1:13">
      <c r="A36" s="19"/>
      <c r="B36" s="19"/>
      <c r="C36" s="20" t="s">
        <v>519</v>
      </c>
      <c r="D36" s="19"/>
      <c r="E36" s="19"/>
      <c r="F36" s="19"/>
      <c r="G36" s="19"/>
      <c r="H36" s="21"/>
      <c r="I36" s="21"/>
      <c r="J36" s="19"/>
      <c r="K36" s="19"/>
      <c r="L36" s="19"/>
      <c r="M36" s="19"/>
    </row>
    <row r="37" ht="14.1" customHeight="1" spans="1:13">
      <c r="A37" s="22">
        <v>303</v>
      </c>
      <c r="B37" s="19"/>
      <c r="C37" s="19" t="s">
        <v>520</v>
      </c>
      <c r="D37" s="19" t="s">
        <v>39</v>
      </c>
      <c r="E37" s="19"/>
      <c r="F37" s="19"/>
      <c r="G37" s="19"/>
      <c r="H37" s="21"/>
      <c r="I37" s="21"/>
      <c r="J37" s="19"/>
      <c r="K37" s="19"/>
      <c r="L37" s="19"/>
      <c r="M37" s="24">
        <v>15541</v>
      </c>
    </row>
    <row r="38" ht="14.1" customHeight="1" spans="1:13">
      <c r="A38" s="19"/>
      <c r="B38" s="19"/>
      <c r="C38" s="19"/>
      <c r="D38" s="19"/>
      <c r="E38" s="19"/>
      <c r="F38" s="19"/>
      <c r="G38" s="19"/>
      <c r="H38" s="21"/>
      <c r="I38" s="21"/>
      <c r="J38" s="19"/>
      <c r="K38" s="19"/>
      <c r="L38" s="19"/>
      <c r="M38" s="19"/>
    </row>
    <row r="39" ht="14.1" customHeight="1" spans="1:13">
      <c r="A39" s="19"/>
      <c r="B39" s="19"/>
      <c r="C39" s="20" t="s">
        <v>217</v>
      </c>
      <c r="D39" s="19"/>
      <c r="E39" s="19"/>
      <c r="F39" s="19"/>
      <c r="G39" s="19"/>
      <c r="H39" s="21"/>
      <c r="I39" s="21"/>
      <c r="J39" s="19"/>
      <c r="K39" s="19"/>
      <c r="L39" s="19"/>
      <c r="M39" s="19"/>
    </row>
    <row r="40" ht="14.1" customHeight="1" spans="1:13">
      <c r="A40" s="22">
        <v>304</v>
      </c>
      <c r="B40" s="19"/>
      <c r="C40" s="19" t="s">
        <v>521</v>
      </c>
      <c r="D40" s="19" t="s">
        <v>39</v>
      </c>
      <c r="E40" s="19"/>
      <c r="F40" s="19"/>
      <c r="G40" s="19"/>
      <c r="H40" s="21"/>
      <c r="I40" s="21"/>
      <c r="J40" s="19"/>
      <c r="K40" s="19"/>
      <c r="L40" s="24">
        <v>10663</v>
      </c>
      <c r="M40" s="24">
        <v>12262</v>
      </c>
    </row>
    <row r="41" ht="14.1" customHeight="1" spans="1:13">
      <c r="A41" s="19"/>
      <c r="B41" s="19"/>
      <c r="C41" s="19"/>
      <c r="D41" s="19"/>
      <c r="E41" s="19"/>
      <c r="F41" s="19"/>
      <c r="G41" s="19"/>
      <c r="H41" s="21"/>
      <c r="I41" s="21"/>
      <c r="J41" s="19"/>
      <c r="K41" s="19"/>
      <c r="L41" s="19"/>
      <c r="M41" s="19"/>
    </row>
    <row r="42" ht="14.1" customHeight="1" spans="1:13">
      <c r="A42" s="22">
        <v>305</v>
      </c>
      <c r="B42" s="19"/>
      <c r="C42" s="19" t="s">
        <v>522</v>
      </c>
      <c r="D42" s="19" t="s">
        <v>39</v>
      </c>
      <c r="E42" s="19"/>
      <c r="F42" s="19"/>
      <c r="G42" s="19"/>
      <c r="H42" s="23">
        <v>4325</v>
      </c>
      <c r="I42" s="23">
        <v>4925</v>
      </c>
      <c r="J42" s="24">
        <v>6179</v>
      </c>
      <c r="K42" s="24">
        <v>7025</v>
      </c>
      <c r="L42" s="24">
        <v>9000</v>
      </c>
      <c r="M42" s="24">
        <v>10350</v>
      </c>
    </row>
    <row r="43" ht="14.1" customHeight="1" spans="1:13">
      <c r="A43" s="19"/>
      <c r="B43" s="19"/>
      <c r="C43" s="19"/>
      <c r="D43" s="19"/>
      <c r="E43" s="19"/>
      <c r="F43" s="19"/>
      <c r="G43" s="19"/>
      <c r="H43" s="21"/>
      <c r="I43" s="21"/>
      <c r="J43" s="19"/>
      <c r="K43" s="19"/>
      <c r="L43" s="19"/>
      <c r="M43" s="19"/>
    </row>
    <row r="44" ht="14.1" customHeight="1" spans="1:13">
      <c r="A44" s="22">
        <v>306</v>
      </c>
      <c r="B44" s="19"/>
      <c r="C44" s="19" t="s">
        <v>523</v>
      </c>
      <c r="D44" s="19" t="s">
        <v>39</v>
      </c>
      <c r="E44" s="19"/>
      <c r="F44" s="19"/>
      <c r="G44" s="19"/>
      <c r="H44" s="21"/>
      <c r="I44" s="21"/>
      <c r="J44" s="19"/>
      <c r="K44" s="19"/>
      <c r="L44" s="24">
        <v>9542</v>
      </c>
      <c r="M44" s="19"/>
    </row>
    <row r="45" ht="14.1" customHeight="1" spans="1:13">
      <c r="A45" s="19"/>
      <c r="B45" s="19"/>
      <c r="C45" s="19"/>
      <c r="D45" s="19"/>
      <c r="E45" s="19"/>
      <c r="F45" s="19"/>
      <c r="G45" s="19"/>
      <c r="H45" s="21"/>
      <c r="I45" s="21"/>
      <c r="J45" s="19"/>
      <c r="K45" s="19"/>
      <c r="L45" s="19"/>
      <c r="M45" s="19"/>
    </row>
    <row r="46" ht="14.1" customHeight="1" spans="1:13">
      <c r="A46" s="22">
        <v>307</v>
      </c>
      <c r="B46" s="19"/>
      <c r="C46" s="19" t="s">
        <v>524</v>
      </c>
      <c r="D46" s="19" t="s">
        <v>39</v>
      </c>
      <c r="E46" s="24">
        <v>1760</v>
      </c>
      <c r="F46" s="24">
        <v>2130</v>
      </c>
      <c r="G46" s="24">
        <v>2492</v>
      </c>
      <c r="H46" s="23">
        <v>2813</v>
      </c>
      <c r="I46" s="23">
        <v>3463</v>
      </c>
      <c r="J46" s="24">
        <v>4083</v>
      </c>
      <c r="K46" s="19"/>
      <c r="L46" s="19"/>
      <c r="M46" s="19"/>
    </row>
    <row r="47" ht="14.1" customHeight="1" spans="1:13">
      <c r="A47" s="19"/>
      <c r="B47" s="19"/>
      <c r="C47" s="19"/>
      <c r="D47" s="19"/>
      <c r="E47" s="19"/>
      <c r="F47" s="19"/>
      <c r="G47" s="19"/>
      <c r="H47" s="21"/>
      <c r="I47" s="21"/>
      <c r="J47" s="19"/>
      <c r="K47" s="19"/>
      <c r="L47" s="19"/>
      <c r="M47" s="19"/>
    </row>
    <row r="48" ht="14.1" customHeight="1" spans="1:13">
      <c r="A48" s="19"/>
      <c r="B48" s="19"/>
      <c r="C48" s="20" t="s">
        <v>42</v>
      </c>
      <c r="D48" s="19"/>
      <c r="E48" s="19"/>
      <c r="F48" s="19"/>
      <c r="G48" s="19"/>
      <c r="H48" s="21"/>
      <c r="I48" s="21"/>
      <c r="J48" s="19"/>
      <c r="K48" s="19"/>
      <c r="L48" s="19"/>
      <c r="M48" s="19"/>
    </row>
    <row r="49" ht="14.1" customHeight="1" spans="1:13">
      <c r="A49" s="22">
        <v>308</v>
      </c>
      <c r="B49" s="19"/>
      <c r="C49" s="19" t="s">
        <v>525</v>
      </c>
      <c r="D49" s="19" t="s">
        <v>39</v>
      </c>
      <c r="E49" s="24">
        <v>4250</v>
      </c>
      <c r="F49" s="24">
        <v>4575</v>
      </c>
      <c r="G49" s="24">
        <v>5250</v>
      </c>
      <c r="H49" s="23">
        <v>5925</v>
      </c>
      <c r="I49" s="23">
        <v>7200</v>
      </c>
      <c r="J49" s="24">
        <v>8158</v>
      </c>
      <c r="K49" s="24">
        <v>9258</v>
      </c>
      <c r="L49" s="24">
        <v>11513</v>
      </c>
      <c r="M49" s="24">
        <v>13240</v>
      </c>
    </row>
    <row r="50" ht="14.1" customHeight="1" spans="1:13">
      <c r="A50" s="19"/>
      <c r="B50" s="19"/>
      <c r="C50" s="19"/>
      <c r="D50" s="19"/>
      <c r="E50" s="19"/>
      <c r="F50" s="19"/>
      <c r="G50" s="19"/>
      <c r="H50" s="21"/>
      <c r="I50" s="21"/>
      <c r="J50" s="19"/>
      <c r="K50" s="19"/>
      <c r="L50" s="19"/>
      <c r="M50" s="19"/>
    </row>
    <row r="51" ht="14.1" customHeight="1" spans="1:13">
      <c r="A51" s="22">
        <v>309</v>
      </c>
      <c r="B51" s="19"/>
      <c r="C51" s="19" t="s">
        <v>526</v>
      </c>
      <c r="D51" s="19" t="s">
        <v>39</v>
      </c>
      <c r="E51" s="19"/>
      <c r="F51" s="19"/>
      <c r="G51" s="19"/>
      <c r="H51" s="21"/>
      <c r="I51" s="21"/>
      <c r="J51" s="24">
        <v>7350</v>
      </c>
      <c r="K51" s="24">
        <v>8350</v>
      </c>
      <c r="L51" s="24">
        <v>9931</v>
      </c>
      <c r="M51" s="24">
        <v>11421</v>
      </c>
    </row>
    <row r="52" ht="14.1" customHeight="1" spans="1:13">
      <c r="A52" s="19"/>
      <c r="B52" s="19"/>
      <c r="C52" s="19"/>
      <c r="D52" s="19"/>
      <c r="E52" s="19"/>
      <c r="F52" s="19"/>
      <c r="G52" s="19"/>
      <c r="H52" s="21"/>
      <c r="I52" s="21"/>
      <c r="J52" s="19"/>
      <c r="K52" s="19"/>
      <c r="L52" s="19"/>
      <c r="M52" s="19"/>
    </row>
    <row r="53" ht="14.1" customHeight="1" spans="1:13">
      <c r="A53" s="19"/>
      <c r="B53" s="19"/>
      <c r="C53" s="20" t="s">
        <v>46</v>
      </c>
      <c r="D53" s="19"/>
      <c r="E53" s="19"/>
      <c r="F53" s="19"/>
      <c r="G53" s="19"/>
      <c r="H53" s="21"/>
      <c r="I53" s="21"/>
      <c r="J53" s="19"/>
      <c r="K53" s="19"/>
      <c r="L53" s="19"/>
      <c r="M53" s="19"/>
    </row>
    <row r="54" ht="14.1" customHeight="1" spans="1:13">
      <c r="A54" s="22">
        <v>310</v>
      </c>
      <c r="B54" s="19"/>
      <c r="C54" s="19" t="s">
        <v>527</v>
      </c>
      <c r="D54" s="19" t="s">
        <v>39</v>
      </c>
      <c r="E54" s="19"/>
      <c r="F54" s="19"/>
      <c r="G54" s="19"/>
      <c r="H54" s="21"/>
      <c r="I54" s="23">
        <v>3700</v>
      </c>
      <c r="J54" s="24">
        <v>4225</v>
      </c>
      <c r="K54" s="24">
        <v>5400</v>
      </c>
      <c r="L54" s="19"/>
      <c r="M54" s="24">
        <v>13175</v>
      </c>
    </row>
    <row r="55" ht="14.1" customHeight="1" spans="1:13">
      <c r="A55" s="19"/>
      <c r="B55" s="19"/>
      <c r="C55" s="19"/>
      <c r="D55" s="19"/>
      <c r="E55" s="19"/>
      <c r="F55" s="19"/>
      <c r="G55" s="19"/>
      <c r="H55" s="21"/>
      <c r="I55" s="21"/>
      <c r="J55" s="19"/>
      <c r="K55" s="19"/>
      <c r="L55" s="19"/>
      <c r="M55" s="19"/>
    </row>
    <row r="56" ht="14.1" customHeight="1" spans="1:13">
      <c r="A56" s="22">
        <v>311</v>
      </c>
      <c r="B56" s="19"/>
      <c r="C56" s="19" t="s">
        <v>528</v>
      </c>
      <c r="D56" s="19" t="s">
        <v>39</v>
      </c>
      <c r="E56" s="19"/>
      <c r="F56" s="19"/>
      <c r="G56" s="19"/>
      <c r="H56" s="21"/>
      <c r="I56" s="21"/>
      <c r="J56" s="19"/>
      <c r="K56" s="19"/>
      <c r="L56" s="24">
        <v>6838</v>
      </c>
      <c r="M56" s="24">
        <v>7864</v>
      </c>
    </row>
    <row r="57" ht="14.1" customHeight="1" spans="1:13">
      <c r="A57" s="19"/>
      <c r="B57" s="19"/>
      <c r="C57" s="19"/>
      <c r="D57" s="19"/>
      <c r="E57" s="19"/>
      <c r="F57" s="19"/>
      <c r="G57" s="19"/>
      <c r="H57" s="21"/>
      <c r="I57" s="21"/>
      <c r="J57" s="19"/>
      <c r="K57" s="19"/>
      <c r="L57" s="19"/>
      <c r="M57" s="19"/>
    </row>
    <row r="58" ht="14.1" customHeight="1" spans="1:13">
      <c r="A58" s="22">
        <v>312</v>
      </c>
      <c r="B58" s="19"/>
      <c r="C58" s="19" t="s">
        <v>529</v>
      </c>
      <c r="D58" s="19" t="s">
        <v>39</v>
      </c>
      <c r="E58" s="19"/>
      <c r="F58" s="19"/>
      <c r="G58" s="19"/>
      <c r="H58" s="21"/>
      <c r="I58" s="21"/>
      <c r="J58" s="19"/>
      <c r="K58" s="19"/>
      <c r="L58" s="24">
        <v>8225</v>
      </c>
      <c r="M58" s="19"/>
    </row>
    <row r="59" ht="14.1" customHeight="1" spans="1:13">
      <c r="A59" s="19"/>
      <c r="B59" s="19"/>
      <c r="C59" s="19"/>
      <c r="D59" s="19"/>
      <c r="E59" s="19"/>
      <c r="F59" s="19"/>
      <c r="G59" s="19"/>
      <c r="H59" s="21"/>
      <c r="I59" s="21"/>
      <c r="J59" s="19"/>
      <c r="K59" s="19"/>
      <c r="L59" s="19"/>
      <c r="M59" s="19"/>
    </row>
    <row r="60" ht="14.1" customHeight="1" spans="1:13">
      <c r="A60" s="19"/>
      <c r="B60" s="19"/>
      <c r="C60" s="20" t="s">
        <v>530</v>
      </c>
      <c r="D60" s="19"/>
      <c r="E60" s="19"/>
      <c r="F60" s="19"/>
      <c r="G60" s="19"/>
      <c r="H60" s="21"/>
      <c r="I60" s="21"/>
      <c r="J60" s="19"/>
      <c r="K60" s="19"/>
      <c r="L60" s="19"/>
      <c r="M60" s="19"/>
    </row>
    <row r="61" ht="14.1" customHeight="1" spans="1:13">
      <c r="A61" s="22">
        <v>313</v>
      </c>
      <c r="B61" s="19"/>
      <c r="C61" s="19" t="s">
        <v>531</v>
      </c>
      <c r="D61" s="19" t="s">
        <v>39</v>
      </c>
      <c r="E61" s="24">
        <v>1913</v>
      </c>
      <c r="F61" s="24">
        <v>2558</v>
      </c>
      <c r="G61" s="24">
        <v>2725</v>
      </c>
      <c r="H61" s="21"/>
      <c r="I61" s="21"/>
      <c r="J61" s="19"/>
      <c r="K61" s="19"/>
      <c r="L61" s="19"/>
      <c r="M61" s="19"/>
    </row>
    <row r="62" ht="14.1" customHeight="1" spans="1:13">
      <c r="A62" s="19"/>
      <c r="B62" s="19"/>
      <c r="C62" s="19"/>
      <c r="D62" s="19"/>
      <c r="E62" s="19"/>
      <c r="F62" s="19"/>
      <c r="G62" s="19"/>
      <c r="H62" s="21"/>
      <c r="I62" s="21"/>
      <c r="J62" s="19"/>
      <c r="K62" s="19"/>
      <c r="L62" s="19"/>
      <c r="M62" s="19"/>
    </row>
    <row r="63" ht="14.1" customHeight="1" spans="1:13">
      <c r="A63" s="22">
        <v>314</v>
      </c>
      <c r="B63" s="19"/>
      <c r="C63" s="19" t="s">
        <v>532</v>
      </c>
      <c r="D63" s="19" t="s">
        <v>39</v>
      </c>
      <c r="E63" s="24">
        <v>2250</v>
      </c>
      <c r="F63" s="24">
        <v>2775</v>
      </c>
      <c r="G63" s="19"/>
      <c r="H63" s="21"/>
      <c r="I63" s="21"/>
      <c r="J63" s="19"/>
      <c r="K63" s="19"/>
      <c r="L63" s="19"/>
      <c r="M63" s="19"/>
    </row>
    <row r="64" ht="14.1" customHeight="1" spans="1:13">
      <c r="A64" s="19"/>
      <c r="B64" s="19"/>
      <c r="C64" s="19"/>
      <c r="D64" s="19"/>
      <c r="E64" s="19"/>
      <c r="F64" s="19"/>
      <c r="G64" s="19"/>
      <c r="H64" s="21"/>
      <c r="I64" s="21"/>
      <c r="J64" s="19"/>
      <c r="K64" s="19"/>
      <c r="L64" s="19"/>
      <c r="M64" s="19"/>
    </row>
    <row r="65" ht="14.1" customHeight="1" spans="1:13">
      <c r="A65" s="22">
        <v>315</v>
      </c>
      <c r="B65" s="19"/>
      <c r="C65" s="19" t="s">
        <v>533</v>
      </c>
      <c r="D65" s="19" t="s">
        <v>39</v>
      </c>
      <c r="E65" s="19"/>
      <c r="F65" s="24">
        <v>2050</v>
      </c>
      <c r="G65" s="24">
        <v>2250</v>
      </c>
      <c r="H65" s="23">
        <v>2850</v>
      </c>
      <c r="I65" s="21"/>
      <c r="J65" s="19"/>
      <c r="K65" s="19"/>
      <c r="L65" s="19"/>
      <c r="M65" s="19"/>
    </row>
    <row r="66" ht="14.1" customHeight="1" spans="1:13">
      <c r="A66" s="19"/>
      <c r="B66" s="19"/>
      <c r="C66" s="19"/>
      <c r="D66" s="19"/>
      <c r="E66" s="19"/>
      <c r="F66" s="19"/>
      <c r="G66" s="19"/>
      <c r="H66" s="21"/>
      <c r="I66" s="21"/>
      <c r="J66" s="19"/>
      <c r="K66" s="19"/>
      <c r="L66" s="19"/>
      <c r="M66" s="19"/>
    </row>
    <row r="67" ht="14.1" customHeight="1" spans="1:13">
      <c r="A67" s="22">
        <v>316</v>
      </c>
      <c r="B67" s="19"/>
      <c r="C67" s="19" t="s">
        <v>534</v>
      </c>
      <c r="D67" s="19" t="s">
        <v>39</v>
      </c>
      <c r="E67" s="19"/>
      <c r="F67" s="19"/>
      <c r="G67" s="19"/>
      <c r="H67" s="23">
        <v>3213</v>
      </c>
      <c r="I67" s="23">
        <v>3613</v>
      </c>
      <c r="J67" s="24">
        <v>3975</v>
      </c>
      <c r="K67" s="19"/>
      <c r="L67" s="19"/>
      <c r="M67" s="19"/>
    </row>
    <row r="68" ht="14.1" customHeight="1" spans="1:13">
      <c r="A68" s="19"/>
      <c r="B68" s="19"/>
      <c r="C68" s="19"/>
      <c r="D68" s="19"/>
      <c r="E68" s="19"/>
      <c r="F68" s="19"/>
      <c r="G68" s="19"/>
      <c r="H68" s="21"/>
      <c r="I68" s="21"/>
      <c r="J68" s="19"/>
      <c r="K68" s="19"/>
      <c r="L68" s="19"/>
      <c r="M68" s="19"/>
    </row>
    <row r="69" ht="14.1" customHeight="1" spans="1:13">
      <c r="A69" s="19"/>
      <c r="B69" s="19"/>
      <c r="C69" s="20" t="s">
        <v>535</v>
      </c>
      <c r="D69" s="19"/>
      <c r="E69" s="19"/>
      <c r="F69" s="19"/>
      <c r="G69" s="19"/>
      <c r="H69" s="21"/>
      <c r="I69" s="21"/>
      <c r="J69" s="19"/>
      <c r="K69" s="19"/>
      <c r="L69" s="19"/>
      <c r="M69" s="19"/>
    </row>
    <row r="70" ht="14.1" customHeight="1" spans="1:13">
      <c r="A70" s="22">
        <v>317</v>
      </c>
      <c r="B70" s="19"/>
      <c r="C70" s="19" t="s">
        <v>536</v>
      </c>
      <c r="D70" s="19" t="s">
        <v>39</v>
      </c>
      <c r="E70" s="19"/>
      <c r="F70" s="19"/>
      <c r="G70" s="19"/>
      <c r="H70" s="21"/>
      <c r="I70" s="21"/>
      <c r="J70" s="19"/>
      <c r="K70" s="19"/>
      <c r="L70" s="19"/>
      <c r="M70" s="24">
        <v>12058</v>
      </c>
    </row>
    <row r="71" ht="14.1" customHeight="1" spans="1:13">
      <c r="A71" s="19"/>
      <c r="B71" s="19"/>
      <c r="C71" s="19"/>
      <c r="D71" s="19"/>
      <c r="E71" s="19"/>
      <c r="F71" s="19"/>
      <c r="G71" s="19"/>
      <c r="H71" s="21"/>
      <c r="I71" s="21"/>
      <c r="J71" s="19"/>
      <c r="K71" s="19"/>
      <c r="L71" s="19"/>
      <c r="M71" s="19"/>
    </row>
    <row r="72" ht="14.1" customHeight="1" spans="1:13">
      <c r="A72" s="22">
        <v>318</v>
      </c>
      <c r="B72" s="19"/>
      <c r="C72" s="19" t="s">
        <v>537</v>
      </c>
      <c r="D72" s="19" t="s">
        <v>39</v>
      </c>
      <c r="E72" s="19"/>
      <c r="F72" s="19"/>
      <c r="G72" s="19"/>
      <c r="H72" s="21"/>
      <c r="I72" s="21"/>
      <c r="J72" s="19"/>
      <c r="K72" s="19"/>
      <c r="L72" s="24">
        <v>10488</v>
      </c>
      <c r="M72" s="19"/>
    </row>
    <row r="73" ht="14.1" customHeight="1" spans="1:13">
      <c r="A73" s="19"/>
      <c r="B73" s="19"/>
      <c r="C73" s="19"/>
      <c r="D73" s="19"/>
      <c r="E73" s="19"/>
      <c r="F73" s="19"/>
      <c r="G73" s="19"/>
      <c r="H73" s="21"/>
      <c r="I73" s="21"/>
      <c r="J73" s="19"/>
      <c r="K73" s="19"/>
      <c r="L73" s="19"/>
      <c r="M73" s="19"/>
    </row>
    <row r="74" ht="14.1" customHeight="1" spans="1:13">
      <c r="A74" s="22">
        <v>319</v>
      </c>
      <c r="B74" s="19"/>
      <c r="C74" s="19" t="s">
        <v>538</v>
      </c>
      <c r="D74" s="19" t="s">
        <v>39</v>
      </c>
      <c r="E74" s="19"/>
      <c r="F74" s="19"/>
      <c r="G74" s="19"/>
      <c r="H74" s="21"/>
      <c r="I74" s="23">
        <v>5779</v>
      </c>
      <c r="J74" s="24">
        <v>6667</v>
      </c>
      <c r="K74" s="24">
        <v>7546</v>
      </c>
      <c r="L74" s="24">
        <v>8438</v>
      </c>
      <c r="M74" s="19"/>
    </row>
    <row r="75" ht="14.1" customHeight="1" spans="1:13">
      <c r="A75" s="19"/>
      <c r="B75" s="19"/>
      <c r="C75" s="19"/>
      <c r="D75" s="19"/>
      <c r="E75" s="19"/>
      <c r="F75" s="19"/>
      <c r="G75" s="19"/>
      <c r="H75" s="21"/>
      <c r="I75" s="21"/>
      <c r="J75" s="19"/>
      <c r="K75" s="19"/>
      <c r="L75" s="19"/>
      <c r="M75" s="19"/>
    </row>
    <row r="76" ht="14.1" customHeight="1" spans="1:13">
      <c r="A76" s="22">
        <v>320</v>
      </c>
      <c r="B76" s="19"/>
      <c r="C76" s="19" t="s">
        <v>539</v>
      </c>
      <c r="D76" s="19" t="s">
        <v>39</v>
      </c>
      <c r="E76" s="19"/>
      <c r="F76" s="19"/>
      <c r="G76" s="19"/>
      <c r="H76" s="21"/>
      <c r="I76" s="21"/>
      <c r="J76" s="19"/>
      <c r="K76" s="19"/>
      <c r="L76" s="19"/>
      <c r="M76" s="24">
        <v>11513</v>
      </c>
    </row>
    <row r="77" ht="14.1" customHeight="1" spans="1:13">
      <c r="A77" s="19"/>
      <c r="B77" s="19"/>
      <c r="C77" s="19"/>
      <c r="D77" s="19"/>
      <c r="E77" s="19"/>
      <c r="F77" s="19"/>
      <c r="G77" s="19"/>
      <c r="H77" s="21"/>
      <c r="I77" s="21"/>
      <c r="J77" s="19"/>
      <c r="K77" s="19"/>
      <c r="L77" s="19"/>
      <c r="M77" s="19"/>
    </row>
    <row r="78" ht="14.1" customHeight="1" spans="1:13">
      <c r="A78" s="22">
        <v>321</v>
      </c>
      <c r="B78" s="19"/>
      <c r="C78" s="19" t="s">
        <v>540</v>
      </c>
      <c r="D78" s="19" t="s">
        <v>39</v>
      </c>
      <c r="E78" s="24">
        <v>4575</v>
      </c>
      <c r="F78" s="24">
        <v>4825</v>
      </c>
      <c r="G78" s="24">
        <v>5400</v>
      </c>
      <c r="H78" s="23">
        <v>5875</v>
      </c>
      <c r="I78" s="23">
        <v>6475</v>
      </c>
      <c r="J78" s="24">
        <v>7625</v>
      </c>
      <c r="K78" s="24">
        <v>8475</v>
      </c>
      <c r="L78" s="24">
        <v>9700</v>
      </c>
      <c r="M78" s="19"/>
    </row>
    <row r="79" ht="14.1" customHeight="1" spans="1:13">
      <c r="A79" s="19"/>
      <c r="B79" s="19"/>
      <c r="C79" s="19"/>
      <c r="D79" s="19"/>
      <c r="E79" s="19"/>
      <c r="F79" s="19"/>
      <c r="G79" s="19"/>
      <c r="H79" s="21"/>
      <c r="I79" s="21"/>
      <c r="J79" s="19"/>
      <c r="K79" s="19"/>
      <c r="L79" s="19"/>
      <c r="M79" s="19"/>
    </row>
    <row r="80" ht="14.1" customHeight="1" spans="1:13">
      <c r="A80" s="19"/>
      <c r="B80" s="19"/>
      <c r="C80" s="20" t="s">
        <v>541</v>
      </c>
      <c r="D80" s="19"/>
      <c r="E80" s="19"/>
      <c r="F80" s="19"/>
      <c r="G80" s="19"/>
      <c r="H80" s="21"/>
      <c r="I80" s="21"/>
      <c r="J80" s="19"/>
      <c r="K80" s="19"/>
      <c r="L80" s="19"/>
      <c r="M80" s="19"/>
    </row>
    <row r="81" ht="14.1" customHeight="1" spans="1:13">
      <c r="A81" s="22">
        <v>322</v>
      </c>
      <c r="B81" s="19"/>
      <c r="C81" s="19" t="s">
        <v>542</v>
      </c>
      <c r="D81" s="19" t="s">
        <v>39</v>
      </c>
      <c r="E81" s="24">
        <v>1706</v>
      </c>
      <c r="F81" s="24">
        <v>1867</v>
      </c>
      <c r="G81" s="24">
        <v>1929</v>
      </c>
      <c r="H81" s="23">
        <v>2403</v>
      </c>
      <c r="I81" s="23">
        <v>2681</v>
      </c>
      <c r="J81" s="19"/>
      <c r="K81" s="19"/>
      <c r="L81" s="24">
        <v>7025</v>
      </c>
      <c r="M81" s="24">
        <v>8079</v>
      </c>
    </row>
    <row r="82" ht="14.1" customHeight="1" spans="1:13">
      <c r="A82" s="19"/>
      <c r="B82" s="19"/>
      <c r="C82" s="19"/>
      <c r="D82" s="19"/>
      <c r="E82" s="19"/>
      <c r="F82" s="19"/>
      <c r="G82" s="19"/>
      <c r="H82" s="21"/>
      <c r="I82" s="21"/>
      <c r="J82" s="19"/>
      <c r="K82" s="19"/>
      <c r="L82" s="19"/>
      <c r="M82" s="19"/>
    </row>
    <row r="83" ht="14.1" customHeight="1" spans="1:13">
      <c r="A83" s="22">
        <v>323</v>
      </c>
      <c r="B83" s="19"/>
      <c r="C83" s="19" t="s">
        <v>543</v>
      </c>
      <c r="D83" s="19" t="s">
        <v>39</v>
      </c>
      <c r="E83" s="19"/>
      <c r="F83" s="19"/>
      <c r="G83" s="19"/>
      <c r="H83" s="21"/>
      <c r="I83" s="21"/>
      <c r="J83" s="19"/>
      <c r="K83" s="19"/>
      <c r="L83" s="19"/>
      <c r="M83" s="24">
        <v>13380</v>
      </c>
    </row>
    <row r="84" ht="14.1" customHeight="1" spans="1:13">
      <c r="A84" s="19"/>
      <c r="B84" s="19"/>
      <c r="C84" s="19"/>
      <c r="D84" s="19"/>
      <c r="E84" s="19"/>
      <c r="F84" s="19"/>
      <c r="G84" s="19"/>
      <c r="H84" s="21"/>
      <c r="I84" s="21"/>
      <c r="J84" s="19"/>
      <c r="K84" s="19"/>
      <c r="L84" s="19"/>
      <c r="M84" s="19"/>
    </row>
    <row r="85" ht="14.1" customHeight="1" spans="1:13">
      <c r="A85" s="22">
        <v>324</v>
      </c>
      <c r="B85" s="19"/>
      <c r="C85" s="19" t="s">
        <v>544</v>
      </c>
      <c r="D85" s="19" t="s">
        <v>39</v>
      </c>
      <c r="E85" s="19"/>
      <c r="F85" s="19"/>
      <c r="G85" s="19"/>
      <c r="H85" s="21"/>
      <c r="I85" s="21"/>
      <c r="J85" s="19"/>
      <c r="K85" s="19"/>
      <c r="L85" s="19"/>
      <c r="M85" s="24">
        <v>9175</v>
      </c>
    </row>
    <row r="86" ht="14.1" customHeight="1" spans="1:13">
      <c r="A86" s="19"/>
      <c r="B86" s="19"/>
      <c r="C86" s="19"/>
      <c r="D86" s="19"/>
      <c r="E86" s="19"/>
      <c r="F86" s="19"/>
      <c r="G86" s="19"/>
      <c r="H86" s="21"/>
      <c r="I86" s="21"/>
      <c r="J86" s="19"/>
      <c r="K86" s="19"/>
      <c r="L86" s="19"/>
      <c r="M86" s="19"/>
    </row>
    <row r="87" ht="14.1" customHeight="1" spans="1:13">
      <c r="A87" s="19"/>
      <c r="B87" s="19"/>
      <c r="C87" s="20" t="s">
        <v>545</v>
      </c>
      <c r="D87" s="19"/>
      <c r="E87" s="19"/>
      <c r="F87" s="19"/>
      <c r="G87" s="19"/>
      <c r="H87" s="21"/>
      <c r="I87" s="21"/>
      <c r="J87" s="19"/>
      <c r="K87" s="19"/>
      <c r="L87" s="19"/>
      <c r="M87" s="19"/>
    </row>
    <row r="88" ht="14.1" customHeight="1" spans="1:13">
      <c r="A88" s="22">
        <v>325</v>
      </c>
      <c r="B88" s="19"/>
      <c r="C88" s="19" t="s">
        <v>546</v>
      </c>
      <c r="D88" s="19" t="s">
        <v>39</v>
      </c>
      <c r="E88" s="19"/>
      <c r="F88" s="19"/>
      <c r="G88" s="19"/>
      <c r="H88" s="21"/>
      <c r="I88" s="23">
        <v>4342</v>
      </c>
      <c r="J88" s="24">
        <v>5025</v>
      </c>
      <c r="K88" s="24">
        <v>6708</v>
      </c>
      <c r="L88" s="24">
        <v>7688</v>
      </c>
      <c r="M88" s="19"/>
    </row>
    <row r="89" ht="14.1" customHeight="1" spans="1:13">
      <c r="A89" s="19"/>
      <c r="B89" s="19"/>
      <c r="C89" s="19"/>
      <c r="D89" s="19"/>
      <c r="E89" s="19"/>
      <c r="F89" s="19"/>
      <c r="G89" s="19"/>
      <c r="H89" s="21"/>
      <c r="I89" s="21"/>
      <c r="J89" s="19"/>
      <c r="K89" s="19"/>
      <c r="L89" s="19"/>
      <c r="M89" s="19"/>
    </row>
    <row r="90" ht="14.1" customHeight="1" spans="1:13">
      <c r="A90" s="19"/>
      <c r="B90" s="19"/>
      <c r="C90" s="20" t="s">
        <v>248</v>
      </c>
      <c r="D90" s="19"/>
      <c r="E90" s="19"/>
      <c r="F90" s="19"/>
      <c r="G90" s="19"/>
      <c r="H90" s="21"/>
      <c r="I90" s="21"/>
      <c r="J90" s="19"/>
      <c r="K90" s="19"/>
      <c r="L90" s="19"/>
      <c r="M90" s="19"/>
    </row>
    <row r="91" ht="14.1" customHeight="1" spans="1:13">
      <c r="A91" s="22">
        <v>326</v>
      </c>
      <c r="B91" s="19"/>
      <c r="C91" s="19" t="s">
        <v>547</v>
      </c>
      <c r="D91" s="19" t="s">
        <v>39</v>
      </c>
      <c r="E91" s="19"/>
      <c r="F91" s="24">
        <v>7375</v>
      </c>
      <c r="G91" s="24">
        <v>7900</v>
      </c>
      <c r="H91" s="23">
        <v>9138</v>
      </c>
      <c r="I91" s="23">
        <v>10438</v>
      </c>
      <c r="J91" s="24">
        <v>11638</v>
      </c>
      <c r="K91" s="19"/>
      <c r="L91" s="19"/>
      <c r="M91" s="19"/>
    </row>
    <row r="92" ht="14.1" customHeight="1" spans="1:13">
      <c r="A92" s="19"/>
      <c r="B92" s="19"/>
      <c r="C92" s="19"/>
      <c r="D92" s="19"/>
      <c r="E92" s="19"/>
      <c r="F92" s="19"/>
      <c r="G92" s="19"/>
      <c r="H92" s="21"/>
      <c r="I92" s="21"/>
      <c r="J92" s="19"/>
      <c r="K92" s="19"/>
      <c r="L92" s="19"/>
      <c r="M92" s="19"/>
    </row>
    <row r="93" ht="14.1" customHeight="1" spans="1:13">
      <c r="A93" s="19"/>
      <c r="B93" s="19"/>
      <c r="C93" s="20" t="s">
        <v>50</v>
      </c>
      <c r="D93" s="19"/>
      <c r="E93" s="19"/>
      <c r="F93" s="19"/>
      <c r="G93" s="19"/>
      <c r="H93" s="21"/>
      <c r="I93" s="21"/>
      <c r="J93" s="19"/>
      <c r="K93" s="19"/>
      <c r="L93" s="19"/>
      <c r="M93" s="19"/>
    </row>
    <row r="94" ht="14.1" customHeight="1" spans="1:13">
      <c r="A94" s="22">
        <v>327</v>
      </c>
      <c r="B94" s="19"/>
      <c r="C94" s="19" t="s">
        <v>548</v>
      </c>
      <c r="D94" s="19" t="s">
        <v>39</v>
      </c>
      <c r="E94" s="19"/>
      <c r="F94" s="19"/>
      <c r="G94" s="19"/>
      <c r="H94" s="21"/>
      <c r="I94" s="21"/>
      <c r="J94" s="19"/>
      <c r="K94" s="19"/>
      <c r="L94" s="19"/>
      <c r="M94" s="24">
        <v>13117</v>
      </c>
    </row>
    <row r="95" ht="14.1" customHeight="1" spans="1:13">
      <c r="A95" s="19"/>
      <c r="B95" s="19"/>
      <c r="C95" s="19"/>
      <c r="D95" s="19"/>
      <c r="E95" s="19"/>
      <c r="F95" s="19"/>
      <c r="G95" s="19"/>
      <c r="H95" s="21"/>
      <c r="I95" s="21"/>
      <c r="J95" s="19"/>
      <c r="K95" s="19"/>
      <c r="L95" s="19"/>
      <c r="M95" s="19"/>
    </row>
    <row r="96" ht="14.1" customHeight="1" spans="1:13">
      <c r="A96" s="22">
        <v>328</v>
      </c>
      <c r="B96" s="19"/>
      <c r="C96" s="19" t="s">
        <v>549</v>
      </c>
      <c r="D96" s="19" t="s">
        <v>39</v>
      </c>
      <c r="E96" s="19"/>
      <c r="F96" s="19"/>
      <c r="G96" s="19"/>
      <c r="H96" s="21"/>
      <c r="I96" s="21"/>
      <c r="J96" s="19"/>
      <c r="K96" s="19"/>
      <c r="L96" s="19"/>
      <c r="M96" s="24">
        <v>13885</v>
      </c>
    </row>
    <row r="97" ht="14.1" customHeight="1" spans="1:13">
      <c r="A97" s="19"/>
      <c r="B97" s="19"/>
      <c r="C97" s="19"/>
      <c r="D97" s="19"/>
      <c r="E97" s="19"/>
      <c r="F97" s="19"/>
      <c r="G97" s="19"/>
      <c r="H97" s="21"/>
      <c r="I97" s="21"/>
      <c r="J97" s="19"/>
      <c r="K97" s="19"/>
      <c r="L97" s="19"/>
      <c r="M97" s="19"/>
    </row>
    <row r="98" ht="14.1" customHeight="1" spans="1:13">
      <c r="A98" s="22">
        <v>329</v>
      </c>
      <c r="B98" s="19"/>
      <c r="C98" s="19" t="s">
        <v>550</v>
      </c>
      <c r="D98" s="19" t="s">
        <v>39</v>
      </c>
      <c r="E98" s="24">
        <v>2113</v>
      </c>
      <c r="F98" s="19"/>
      <c r="G98" s="24">
        <v>2875</v>
      </c>
      <c r="H98" s="23">
        <v>3242</v>
      </c>
      <c r="I98" s="23">
        <v>4213</v>
      </c>
      <c r="J98" s="24">
        <v>4775</v>
      </c>
      <c r="K98" s="24">
        <v>6613</v>
      </c>
      <c r="L98" s="24">
        <v>7425</v>
      </c>
      <c r="M98" s="19"/>
    </row>
    <row r="99" ht="14.1" customHeight="1" spans="1:13">
      <c r="A99" s="19"/>
      <c r="B99" s="19"/>
      <c r="C99" s="19"/>
      <c r="D99" s="19"/>
      <c r="E99" s="19"/>
      <c r="F99" s="19"/>
      <c r="G99" s="19"/>
      <c r="H99" s="21"/>
      <c r="I99" s="21"/>
      <c r="J99" s="19"/>
      <c r="K99" s="19"/>
      <c r="L99" s="19"/>
      <c r="M99" s="19"/>
    </row>
    <row r="100" ht="14.1" customHeight="1" spans="1:13">
      <c r="A100" s="22">
        <v>330</v>
      </c>
      <c r="B100" s="19"/>
      <c r="C100" s="19" t="s">
        <v>551</v>
      </c>
      <c r="D100" s="19" t="s">
        <v>39</v>
      </c>
      <c r="E100" s="19"/>
      <c r="F100" s="19"/>
      <c r="G100" s="19"/>
      <c r="H100" s="21"/>
      <c r="I100" s="21"/>
      <c r="J100" s="19"/>
      <c r="K100" s="19"/>
      <c r="L100" s="24">
        <v>7763</v>
      </c>
      <c r="M100" s="24">
        <v>8927</v>
      </c>
    </row>
    <row r="101" ht="14.1" customHeight="1" spans="1:13">
      <c r="A101" s="19"/>
      <c r="B101" s="19"/>
      <c r="C101" s="19"/>
      <c r="D101" s="19"/>
      <c r="E101" s="19"/>
      <c r="F101" s="19"/>
      <c r="G101" s="19"/>
      <c r="H101" s="21"/>
      <c r="I101" s="21"/>
      <c r="J101" s="19"/>
      <c r="K101" s="19"/>
      <c r="L101" s="19"/>
      <c r="M101" s="19"/>
    </row>
    <row r="102" ht="14.1" customHeight="1" spans="1:13">
      <c r="A102" s="22">
        <v>331</v>
      </c>
      <c r="B102" s="19"/>
      <c r="C102" s="19" t="s">
        <v>552</v>
      </c>
      <c r="D102" s="19" t="s">
        <v>39</v>
      </c>
      <c r="E102" s="19"/>
      <c r="F102" s="19"/>
      <c r="G102" s="19"/>
      <c r="H102" s="23">
        <v>4279</v>
      </c>
      <c r="I102" s="23">
        <v>4940</v>
      </c>
      <c r="J102" s="24">
        <v>5800</v>
      </c>
      <c r="K102" s="24">
        <v>7194</v>
      </c>
      <c r="L102" s="24">
        <v>8438</v>
      </c>
      <c r="M102" s="24">
        <v>9704</v>
      </c>
    </row>
    <row r="103" ht="14.1" customHeight="1" spans="1:13">
      <c r="A103" s="19"/>
      <c r="B103" s="19"/>
      <c r="C103" s="19"/>
      <c r="D103" s="19"/>
      <c r="E103" s="19"/>
      <c r="F103" s="19"/>
      <c r="G103" s="19"/>
      <c r="H103" s="21"/>
      <c r="I103" s="21"/>
      <c r="J103" s="19"/>
      <c r="K103" s="19"/>
      <c r="L103" s="19"/>
      <c r="M103" s="19"/>
    </row>
    <row r="104" ht="14.1" customHeight="1" spans="1:13">
      <c r="A104" s="19"/>
      <c r="B104" s="19"/>
      <c r="C104" s="20" t="s">
        <v>265</v>
      </c>
      <c r="D104" s="19"/>
      <c r="E104" s="19"/>
      <c r="F104" s="19"/>
      <c r="G104" s="19"/>
      <c r="H104" s="21"/>
      <c r="I104" s="21"/>
      <c r="J104" s="19"/>
      <c r="K104" s="19"/>
      <c r="L104" s="19"/>
      <c r="M104" s="19"/>
    </row>
    <row r="105" ht="14.1" customHeight="1" spans="1:13">
      <c r="A105" s="22">
        <v>332</v>
      </c>
      <c r="B105" s="19"/>
      <c r="C105" s="19" t="s">
        <v>553</v>
      </c>
      <c r="D105" s="19" t="s">
        <v>39</v>
      </c>
      <c r="E105" s="19"/>
      <c r="F105" s="19"/>
      <c r="G105" s="19"/>
      <c r="H105" s="21"/>
      <c r="I105" s="21"/>
      <c r="J105" s="19"/>
      <c r="K105" s="19"/>
      <c r="L105" s="19"/>
      <c r="M105" s="24">
        <v>33500</v>
      </c>
    </row>
    <row r="106" ht="14.1" customHeight="1" spans="1:13">
      <c r="A106" s="19"/>
      <c r="B106" s="19"/>
      <c r="C106" s="19"/>
      <c r="D106" s="19"/>
      <c r="E106" s="19"/>
      <c r="F106" s="19"/>
      <c r="G106" s="19"/>
      <c r="H106" s="21"/>
      <c r="I106" s="21"/>
      <c r="J106" s="19"/>
      <c r="K106" s="19"/>
      <c r="L106" s="19"/>
      <c r="M106" s="19"/>
    </row>
    <row r="107" ht="14.1" customHeight="1" spans="1:13">
      <c r="A107" s="22">
        <v>333</v>
      </c>
      <c r="B107" s="19"/>
      <c r="C107" s="19" t="s">
        <v>554</v>
      </c>
      <c r="D107" s="19" t="s">
        <v>39</v>
      </c>
      <c r="E107" s="19"/>
      <c r="F107" s="19"/>
      <c r="G107" s="19"/>
      <c r="H107" s="21"/>
      <c r="I107" s="21"/>
      <c r="J107" s="19"/>
      <c r="K107" s="19"/>
      <c r="L107" s="19"/>
      <c r="M107" s="24">
        <v>27625</v>
      </c>
    </row>
    <row r="108" ht="14.1" customHeight="1" spans="1:13">
      <c r="A108" s="19"/>
      <c r="B108" s="19"/>
      <c r="C108" s="19"/>
      <c r="D108" s="19"/>
      <c r="E108" s="19"/>
      <c r="F108" s="19"/>
      <c r="G108" s="19"/>
      <c r="H108" s="21"/>
      <c r="I108" s="21"/>
      <c r="J108" s="19"/>
      <c r="K108" s="19"/>
      <c r="L108" s="19"/>
      <c r="M108" s="19"/>
    </row>
    <row r="109" ht="14.1" customHeight="1" spans="1:13">
      <c r="A109" s="19"/>
      <c r="B109" s="19"/>
      <c r="C109" s="20" t="s">
        <v>268</v>
      </c>
      <c r="D109" s="19"/>
      <c r="E109" s="19"/>
      <c r="F109" s="19"/>
      <c r="G109" s="19"/>
      <c r="H109" s="21"/>
      <c r="I109" s="21"/>
      <c r="J109" s="19"/>
      <c r="K109" s="19"/>
      <c r="L109" s="19"/>
      <c r="M109" s="19"/>
    </row>
    <row r="110" ht="14.1" customHeight="1" spans="1:13">
      <c r="A110" s="22">
        <v>334</v>
      </c>
      <c r="B110" s="19"/>
      <c r="C110" s="19" t="s">
        <v>555</v>
      </c>
      <c r="D110" s="19" t="s">
        <v>39</v>
      </c>
      <c r="E110" s="19"/>
      <c r="F110" s="19"/>
      <c r="G110" s="19"/>
      <c r="H110" s="21"/>
      <c r="I110" s="21"/>
      <c r="J110" s="19"/>
      <c r="K110" s="19"/>
      <c r="L110" s="24">
        <v>8113</v>
      </c>
      <c r="M110" s="19"/>
    </row>
    <row r="111" ht="14.1" customHeight="1" spans="1:13">
      <c r="A111" s="19"/>
      <c r="B111" s="19"/>
      <c r="C111" s="19"/>
      <c r="D111" s="19"/>
      <c r="E111" s="19"/>
      <c r="F111" s="19"/>
      <c r="G111" s="19"/>
      <c r="H111" s="21"/>
      <c r="I111" s="21"/>
      <c r="J111" s="19"/>
      <c r="K111" s="19"/>
      <c r="L111" s="19"/>
      <c r="M111" s="19"/>
    </row>
    <row r="112" ht="14.1" customHeight="1" spans="1:13">
      <c r="A112" s="22">
        <v>335</v>
      </c>
      <c r="B112" s="19"/>
      <c r="C112" s="19" t="s">
        <v>556</v>
      </c>
      <c r="D112" s="19" t="s">
        <v>39</v>
      </c>
      <c r="E112" s="19"/>
      <c r="F112" s="19"/>
      <c r="G112" s="19"/>
      <c r="H112" s="21"/>
      <c r="I112" s="21"/>
      <c r="J112" s="19"/>
      <c r="K112" s="19"/>
      <c r="L112" s="24">
        <v>9025</v>
      </c>
      <c r="M112" s="24">
        <v>10379</v>
      </c>
    </row>
    <row r="113" ht="14.1" customHeight="1" spans="1:13">
      <c r="A113" s="19"/>
      <c r="B113" s="19"/>
      <c r="C113" s="19"/>
      <c r="D113" s="19"/>
      <c r="E113" s="19"/>
      <c r="F113" s="19"/>
      <c r="G113" s="19"/>
      <c r="H113" s="21"/>
      <c r="I113" s="21"/>
      <c r="J113" s="19"/>
      <c r="K113" s="19"/>
      <c r="L113" s="19"/>
      <c r="M113" s="19"/>
    </row>
    <row r="114" ht="14.1" customHeight="1" spans="1:13">
      <c r="A114" s="22">
        <v>336</v>
      </c>
      <c r="B114" s="19"/>
      <c r="C114" s="19" t="s">
        <v>557</v>
      </c>
      <c r="D114" s="19" t="s">
        <v>39</v>
      </c>
      <c r="E114" s="24">
        <v>2088</v>
      </c>
      <c r="F114" s="19"/>
      <c r="G114" s="19"/>
      <c r="H114" s="21"/>
      <c r="I114" s="21"/>
      <c r="J114" s="19"/>
      <c r="K114" s="19"/>
      <c r="L114" s="19"/>
      <c r="M114" s="19"/>
    </row>
    <row r="115" ht="14.1" customHeight="1" spans="1:13">
      <c r="A115" s="19"/>
      <c r="B115" s="19"/>
      <c r="C115" s="19"/>
      <c r="D115" s="19"/>
      <c r="E115" s="19"/>
      <c r="F115" s="19"/>
      <c r="G115" s="19"/>
      <c r="H115" s="21"/>
      <c r="I115" s="21"/>
      <c r="J115" s="19"/>
      <c r="K115" s="19"/>
      <c r="L115" s="19"/>
      <c r="M115" s="19"/>
    </row>
    <row r="116" ht="14.1" customHeight="1" spans="1:13">
      <c r="A116" s="19"/>
      <c r="B116" s="19"/>
      <c r="C116" s="20" t="s">
        <v>53</v>
      </c>
      <c r="D116" s="19"/>
      <c r="E116" s="19"/>
      <c r="F116" s="19"/>
      <c r="G116" s="19"/>
      <c r="H116" s="21"/>
      <c r="I116" s="21"/>
      <c r="J116" s="19"/>
      <c r="K116" s="19"/>
      <c r="L116" s="19"/>
      <c r="M116" s="19"/>
    </row>
    <row r="117" ht="14.1" customHeight="1" spans="1:13">
      <c r="A117" s="22">
        <v>337</v>
      </c>
      <c r="B117" s="19"/>
      <c r="C117" s="19" t="s">
        <v>558</v>
      </c>
      <c r="D117" s="19" t="s">
        <v>39</v>
      </c>
      <c r="E117" s="24">
        <v>2760</v>
      </c>
      <c r="F117" s="24">
        <v>3321</v>
      </c>
      <c r="G117" s="24">
        <v>4011</v>
      </c>
      <c r="H117" s="23">
        <v>4413</v>
      </c>
      <c r="I117" s="23">
        <v>5184</v>
      </c>
      <c r="J117" s="24">
        <v>5928</v>
      </c>
      <c r="K117" s="24">
        <v>6750</v>
      </c>
      <c r="L117" s="19"/>
      <c r="M117" s="19"/>
    </row>
    <row r="118" ht="14.1" customHeight="1" spans="1:13">
      <c r="A118" s="19"/>
      <c r="B118" s="19"/>
      <c r="C118" s="19"/>
      <c r="D118" s="19"/>
      <c r="E118" s="19"/>
      <c r="F118" s="19"/>
      <c r="G118" s="19"/>
      <c r="H118" s="21"/>
      <c r="I118" s="21"/>
      <c r="J118" s="19"/>
      <c r="K118" s="19"/>
      <c r="L118" s="19"/>
      <c r="M118" s="19"/>
    </row>
    <row r="119" ht="14.1" customHeight="1" spans="1:13">
      <c r="A119" s="22">
        <v>338</v>
      </c>
      <c r="B119" s="19"/>
      <c r="C119" s="19" t="s">
        <v>559</v>
      </c>
      <c r="D119" s="19" t="s">
        <v>39</v>
      </c>
      <c r="E119" s="24">
        <v>3550</v>
      </c>
      <c r="F119" s="24">
        <v>3875</v>
      </c>
      <c r="G119" s="24">
        <v>4625</v>
      </c>
      <c r="H119" s="23">
        <v>6225</v>
      </c>
      <c r="I119" s="23">
        <v>7225</v>
      </c>
      <c r="J119" s="24">
        <v>9075</v>
      </c>
      <c r="K119" s="24">
        <v>12375</v>
      </c>
      <c r="L119" s="24">
        <v>13675</v>
      </c>
      <c r="M119" s="19"/>
    </row>
    <row r="120" ht="14.1" customHeight="1" spans="1:13">
      <c r="A120" s="19"/>
      <c r="B120" s="19"/>
      <c r="C120" s="19"/>
      <c r="D120" s="19"/>
      <c r="E120" s="19"/>
      <c r="F120" s="19"/>
      <c r="G120" s="19"/>
      <c r="H120" s="21"/>
      <c r="I120" s="21"/>
      <c r="J120" s="19"/>
      <c r="K120" s="19"/>
      <c r="L120" s="19"/>
      <c r="M120" s="19"/>
    </row>
    <row r="121" ht="14.1" customHeight="1" spans="1:13">
      <c r="A121" s="22">
        <v>339</v>
      </c>
      <c r="B121" s="19"/>
      <c r="C121" s="19" t="s">
        <v>560</v>
      </c>
      <c r="D121" s="19" t="s">
        <v>39</v>
      </c>
      <c r="E121" s="19"/>
      <c r="F121" s="19"/>
      <c r="G121" s="19"/>
      <c r="H121" s="21"/>
      <c r="I121" s="21"/>
      <c r="J121" s="19"/>
      <c r="K121" s="19"/>
      <c r="L121" s="19"/>
      <c r="M121" s="24">
        <v>11965</v>
      </c>
    </row>
    <row r="122" ht="14.1" customHeight="1" spans="1:13">
      <c r="A122" s="19"/>
      <c r="B122" s="19"/>
      <c r="C122" s="19"/>
      <c r="D122" s="19"/>
      <c r="E122" s="19"/>
      <c r="F122" s="19"/>
      <c r="G122" s="19"/>
      <c r="H122" s="21"/>
      <c r="I122" s="21"/>
      <c r="J122" s="19"/>
      <c r="K122" s="19"/>
      <c r="L122" s="19"/>
      <c r="M122" s="19"/>
    </row>
    <row r="123" ht="14.1" customHeight="1" spans="1:13">
      <c r="A123" s="22">
        <v>340</v>
      </c>
      <c r="B123" s="19"/>
      <c r="C123" s="19" t="s">
        <v>561</v>
      </c>
      <c r="D123" s="19" t="s">
        <v>39</v>
      </c>
      <c r="E123" s="19"/>
      <c r="F123" s="19"/>
      <c r="G123" s="19"/>
      <c r="H123" s="21"/>
      <c r="I123" s="21"/>
      <c r="J123" s="24">
        <v>5563</v>
      </c>
      <c r="K123" s="24">
        <v>6494</v>
      </c>
      <c r="L123" s="24">
        <v>8200</v>
      </c>
      <c r="M123" s="19"/>
    </row>
    <row r="124" ht="14.1" customHeight="1" spans="1:13">
      <c r="A124" s="19"/>
      <c r="B124" s="19"/>
      <c r="C124" s="19"/>
      <c r="D124" s="19"/>
      <c r="E124" s="19"/>
      <c r="F124" s="19"/>
      <c r="G124" s="19"/>
      <c r="H124" s="21"/>
      <c r="I124" s="21"/>
      <c r="J124" s="19"/>
      <c r="K124" s="19"/>
      <c r="L124" s="19"/>
      <c r="M124" s="19"/>
    </row>
    <row r="125" ht="14.1" customHeight="1" spans="1:13">
      <c r="A125" s="22">
        <v>341</v>
      </c>
      <c r="B125" s="19"/>
      <c r="C125" s="19" t="s">
        <v>562</v>
      </c>
      <c r="D125" s="19" t="s">
        <v>39</v>
      </c>
      <c r="E125" s="19"/>
      <c r="F125" s="19"/>
      <c r="G125" s="19"/>
      <c r="H125" s="21"/>
      <c r="I125" s="21"/>
      <c r="J125" s="19"/>
      <c r="K125" s="19"/>
      <c r="L125" s="19"/>
      <c r="M125" s="24">
        <v>14138</v>
      </c>
    </row>
    <row r="126" ht="14.1" customHeight="1" spans="1:13">
      <c r="A126" s="19"/>
      <c r="B126" s="19"/>
      <c r="C126" s="19"/>
      <c r="D126" s="19"/>
      <c r="E126" s="19"/>
      <c r="F126" s="19"/>
      <c r="G126" s="19"/>
      <c r="H126" s="21"/>
      <c r="I126" s="21"/>
      <c r="J126" s="19"/>
      <c r="K126" s="19"/>
      <c r="L126" s="19"/>
      <c r="M126" s="19"/>
    </row>
    <row r="127" ht="14.1" customHeight="1" spans="1:13">
      <c r="A127" s="19"/>
      <c r="B127" s="19"/>
      <c r="C127" s="20" t="s">
        <v>287</v>
      </c>
      <c r="D127" s="19"/>
      <c r="E127" s="19"/>
      <c r="F127" s="19"/>
      <c r="G127" s="19"/>
      <c r="H127" s="21"/>
      <c r="I127" s="21"/>
      <c r="J127" s="19"/>
      <c r="K127" s="19"/>
      <c r="L127" s="19"/>
      <c r="M127" s="19"/>
    </row>
    <row r="128" ht="14.1" customHeight="1" spans="1:13">
      <c r="A128" s="22">
        <v>342</v>
      </c>
      <c r="B128" s="19"/>
      <c r="C128" s="19" t="s">
        <v>563</v>
      </c>
      <c r="D128" s="19" t="s">
        <v>39</v>
      </c>
      <c r="E128" s="19"/>
      <c r="F128" s="19"/>
      <c r="G128" s="19"/>
      <c r="H128" s="21"/>
      <c r="I128" s="21"/>
      <c r="J128" s="19"/>
      <c r="K128" s="19"/>
      <c r="L128" s="19"/>
      <c r="M128" s="24">
        <v>12558</v>
      </c>
    </row>
    <row r="129" ht="14.1" customHeight="1" spans="1:13">
      <c r="A129" s="19"/>
      <c r="B129" s="19"/>
      <c r="C129" s="19"/>
      <c r="D129" s="19"/>
      <c r="E129" s="19"/>
      <c r="F129" s="19"/>
      <c r="G129" s="19"/>
      <c r="H129" s="21"/>
      <c r="I129" s="21"/>
      <c r="J129" s="19"/>
      <c r="K129" s="19"/>
      <c r="L129" s="19"/>
      <c r="M129" s="19"/>
    </row>
    <row r="130" ht="14.1" customHeight="1" spans="1:13">
      <c r="A130" s="22">
        <v>343</v>
      </c>
      <c r="B130" s="19"/>
      <c r="C130" s="19" t="s">
        <v>564</v>
      </c>
      <c r="D130" s="19" t="s">
        <v>39</v>
      </c>
      <c r="E130" s="19"/>
      <c r="F130" s="19"/>
      <c r="G130" s="19"/>
      <c r="H130" s="21"/>
      <c r="I130" s="21"/>
      <c r="J130" s="19"/>
      <c r="K130" s="19"/>
      <c r="L130" s="19"/>
      <c r="M130" s="24">
        <v>12921</v>
      </c>
    </row>
    <row r="131" ht="14.1" customHeight="1" spans="1:13">
      <c r="A131" s="19"/>
      <c r="B131" s="19"/>
      <c r="C131" s="19"/>
      <c r="D131" s="19"/>
      <c r="E131" s="19"/>
      <c r="F131" s="19"/>
      <c r="G131" s="19"/>
      <c r="H131" s="21"/>
      <c r="I131" s="21"/>
      <c r="J131" s="19"/>
      <c r="K131" s="19"/>
      <c r="L131" s="19"/>
      <c r="M131" s="19"/>
    </row>
    <row r="132" ht="14.1" customHeight="1" spans="1:13">
      <c r="A132" s="22">
        <v>344</v>
      </c>
      <c r="B132" s="19"/>
      <c r="C132" s="19" t="s">
        <v>565</v>
      </c>
      <c r="D132" s="19" t="s">
        <v>39</v>
      </c>
      <c r="E132" s="24">
        <v>2500</v>
      </c>
      <c r="F132" s="19"/>
      <c r="G132" s="19"/>
      <c r="H132" s="21"/>
      <c r="I132" s="21"/>
      <c r="J132" s="19"/>
      <c r="K132" s="19"/>
      <c r="L132" s="19"/>
      <c r="M132" s="19"/>
    </row>
    <row r="133" ht="14.1" customHeight="1" spans="1:13">
      <c r="A133" s="19"/>
      <c r="B133" s="19"/>
      <c r="C133" s="19"/>
      <c r="D133" s="19"/>
      <c r="E133" s="19"/>
      <c r="F133" s="19"/>
      <c r="G133" s="19"/>
      <c r="H133" s="21"/>
      <c r="I133" s="21"/>
      <c r="J133" s="19"/>
      <c r="K133" s="19"/>
      <c r="L133" s="19"/>
      <c r="M133" s="19"/>
    </row>
    <row r="134" ht="14.1" customHeight="1" spans="1:13">
      <c r="A134" s="22">
        <v>345</v>
      </c>
      <c r="B134" s="19"/>
      <c r="C134" s="19" t="s">
        <v>566</v>
      </c>
      <c r="D134" s="19" t="s">
        <v>39</v>
      </c>
      <c r="E134" s="19"/>
      <c r="F134" s="19"/>
      <c r="G134" s="24">
        <v>3975</v>
      </c>
      <c r="H134" s="23">
        <v>4325</v>
      </c>
      <c r="I134" s="23">
        <v>4950</v>
      </c>
      <c r="J134" s="24">
        <v>6150</v>
      </c>
      <c r="K134" s="24">
        <v>6850</v>
      </c>
      <c r="L134" s="19"/>
      <c r="M134" s="19"/>
    </row>
    <row r="135" ht="14.1" customHeight="1" spans="1:13">
      <c r="A135" s="19"/>
      <c r="B135" s="19"/>
      <c r="C135" s="19"/>
      <c r="D135" s="19"/>
      <c r="E135" s="19"/>
      <c r="F135" s="19"/>
      <c r="G135" s="19"/>
      <c r="H135" s="21"/>
      <c r="I135" s="21"/>
      <c r="J135" s="19"/>
      <c r="K135" s="19"/>
      <c r="L135" s="19"/>
      <c r="M135" s="19"/>
    </row>
    <row r="136" ht="14.1" customHeight="1" spans="1:13">
      <c r="A136" s="19"/>
      <c r="B136" s="19"/>
      <c r="C136" s="20" t="s">
        <v>296</v>
      </c>
      <c r="D136" s="19"/>
      <c r="E136" s="19"/>
      <c r="F136" s="19"/>
      <c r="G136" s="19"/>
      <c r="H136" s="21"/>
      <c r="I136" s="21"/>
      <c r="J136" s="19"/>
      <c r="K136" s="19"/>
      <c r="L136" s="19"/>
      <c r="M136" s="19"/>
    </row>
    <row r="137" ht="14.1" customHeight="1" spans="1:13">
      <c r="A137" s="22">
        <v>346</v>
      </c>
      <c r="B137" s="19"/>
      <c r="C137" s="19" t="s">
        <v>567</v>
      </c>
      <c r="D137" s="19" t="s">
        <v>39</v>
      </c>
      <c r="E137" s="24">
        <v>1825</v>
      </c>
      <c r="F137" s="24">
        <v>2000</v>
      </c>
      <c r="G137" s="24">
        <v>2325</v>
      </c>
      <c r="H137" s="21"/>
      <c r="I137" s="21"/>
      <c r="J137" s="19"/>
      <c r="K137" s="19"/>
      <c r="L137" s="19"/>
      <c r="M137" s="19"/>
    </row>
    <row r="138" ht="14.1" customHeight="1" spans="1:13">
      <c r="A138" s="19"/>
      <c r="B138" s="19"/>
      <c r="C138" s="19"/>
      <c r="D138" s="19"/>
      <c r="E138" s="19"/>
      <c r="F138" s="19"/>
      <c r="G138" s="19"/>
      <c r="H138" s="21"/>
      <c r="I138" s="21"/>
      <c r="J138" s="19"/>
      <c r="K138" s="19"/>
      <c r="L138" s="19"/>
      <c r="M138" s="19"/>
    </row>
    <row r="139" ht="14.1" customHeight="1" spans="1:13">
      <c r="A139" s="19"/>
      <c r="B139" s="19"/>
      <c r="C139" s="20" t="s">
        <v>313</v>
      </c>
      <c r="D139" s="19"/>
      <c r="E139" s="19"/>
      <c r="F139" s="19"/>
      <c r="G139" s="19"/>
      <c r="H139" s="21"/>
      <c r="I139" s="21"/>
      <c r="J139" s="19"/>
      <c r="K139" s="19"/>
      <c r="L139" s="19"/>
      <c r="M139" s="19"/>
    </row>
    <row r="140" ht="14.1" customHeight="1" spans="1:13">
      <c r="A140" s="22">
        <v>347</v>
      </c>
      <c r="B140" s="19"/>
      <c r="C140" s="19" t="s">
        <v>568</v>
      </c>
      <c r="D140" s="19" t="s">
        <v>39</v>
      </c>
      <c r="E140" s="19"/>
      <c r="F140" s="19"/>
      <c r="G140" s="19"/>
      <c r="H140" s="21"/>
      <c r="I140" s="23">
        <v>3992</v>
      </c>
      <c r="J140" s="24">
        <v>4788</v>
      </c>
      <c r="K140" s="24">
        <v>6344</v>
      </c>
      <c r="L140" s="24">
        <v>7850</v>
      </c>
      <c r="M140" s="19"/>
    </row>
    <row r="141" ht="14.1" customHeight="1" spans="1:13">
      <c r="A141" s="19"/>
      <c r="B141" s="19"/>
      <c r="C141" s="19"/>
      <c r="D141" s="19"/>
      <c r="E141" s="19"/>
      <c r="F141" s="19"/>
      <c r="G141" s="19"/>
      <c r="H141" s="21"/>
      <c r="I141" s="21"/>
      <c r="J141" s="19"/>
      <c r="K141" s="19"/>
      <c r="L141" s="19"/>
      <c r="M141" s="19"/>
    </row>
    <row r="142" ht="14.1" customHeight="1" spans="1:13">
      <c r="A142" s="19"/>
      <c r="B142" s="19"/>
      <c r="C142" s="20" t="s">
        <v>55</v>
      </c>
      <c r="D142" s="19"/>
      <c r="E142" s="19"/>
      <c r="F142" s="19"/>
      <c r="G142" s="19"/>
      <c r="H142" s="21"/>
      <c r="I142" s="21"/>
      <c r="J142" s="19"/>
      <c r="K142" s="19"/>
      <c r="L142" s="19"/>
      <c r="M142" s="19"/>
    </row>
    <row r="143" ht="14.1" customHeight="1" spans="1:13">
      <c r="A143" s="22">
        <v>348</v>
      </c>
      <c r="B143" s="19"/>
      <c r="C143" s="19" t="s">
        <v>569</v>
      </c>
      <c r="D143" s="19" t="s">
        <v>39</v>
      </c>
      <c r="E143" s="19"/>
      <c r="F143" s="19"/>
      <c r="G143" s="19"/>
      <c r="H143" s="21"/>
      <c r="I143" s="21"/>
      <c r="J143" s="19"/>
      <c r="K143" s="19"/>
      <c r="L143" s="19"/>
      <c r="M143" s="24">
        <v>10475</v>
      </c>
    </row>
    <row r="144" ht="14.1" customHeight="1" spans="1:13">
      <c r="A144" s="19"/>
      <c r="B144" s="19"/>
      <c r="C144" s="19"/>
      <c r="D144" s="19"/>
      <c r="E144" s="19"/>
      <c r="F144" s="19"/>
      <c r="G144" s="19"/>
      <c r="H144" s="21"/>
      <c r="I144" s="21"/>
      <c r="J144" s="19"/>
      <c r="K144" s="19"/>
      <c r="L144" s="19"/>
      <c r="M144" s="19"/>
    </row>
    <row r="145" ht="14.1" customHeight="1" spans="1:13">
      <c r="A145" s="19"/>
      <c r="B145" s="19"/>
      <c r="C145" s="20" t="s">
        <v>60</v>
      </c>
      <c r="D145" s="19"/>
      <c r="E145" s="19"/>
      <c r="F145" s="19"/>
      <c r="G145" s="19"/>
      <c r="H145" s="21"/>
      <c r="I145" s="21"/>
      <c r="J145" s="19"/>
      <c r="K145" s="19"/>
      <c r="L145" s="19"/>
      <c r="M145" s="19"/>
    </row>
    <row r="146" ht="14.1" customHeight="1" spans="1:13">
      <c r="A146" s="22">
        <v>349</v>
      </c>
      <c r="B146" s="19"/>
      <c r="C146" s="19" t="s">
        <v>570</v>
      </c>
      <c r="D146" s="19" t="s">
        <v>39</v>
      </c>
      <c r="E146" s="19"/>
      <c r="F146" s="19"/>
      <c r="G146" s="19"/>
      <c r="H146" s="21"/>
      <c r="I146" s="21"/>
      <c r="J146" s="19"/>
      <c r="K146" s="19"/>
      <c r="L146" s="19"/>
      <c r="M146" s="24">
        <v>8595</v>
      </c>
    </row>
    <row r="147" ht="14.1" customHeight="1" spans="1:13">
      <c r="A147" s="19"/>
      <c r="B147" s="19"/>
      <c r="C147" s="19"/>
      <c r="D147" s="19"/>
      <c r="E147" s="19"/>
      <c r="F147" s="19"/>
      <c r="G147" s="19"/>
      <c r="H147" s="21"/>
      <c r="I147" s="21"/>
      <c r="J147" s="19"/>
      <c r="K147" s="19"/>
      <c r="L147" s="19"/>
      <c r="M147" s="19"/>
    </row>
    <row r="148" ht="14.1" customHeight="1" spans="1:13">
      <c r="A148" s="22">
        <v>350</v>
      </c>
      <c r="B148" s="19"/>
      <c r="C148" s="19" t="s">
        <v>571</v>
      </c>
      <c r="D148" s="19" t="s">
        <v>39</v>
      </c>
      <c r="E148" s="19"/>
      <c r="F148" s="24">
        <v>3050</v>
      </c>
      <c r="G148" s="24">
        <v>3438</v>
      </c>
      <c r="H148" s="23">
        <v>3854</v>
      </c>
      <c r="I148" s="23">
        <v>4713</v>
      </c>
      <c r="J148" s="24">
        <v>5075</v>
      </c>
      <c r="K148" s="24">
        <v>5988</v>
      </c>
      <c r="L148" s="24">
        <v>7425</v>
      </c>
      <c r="M148" s="19"/>
    </row>
    <row r="149" ht="14.1" customHeight="1" spans="1:13">
      <c r="A149" s="19"/>
      <c r="B149" s="19"/>
      <c r="C149" s="19"/>
      <c r="D149" s="19"/>
      <c r="E149" s="19"/>
      <c r="F149" s="19"/>
      <c r="G149" s="19"/>
      <c r="H149" s="21"/>
      <c r="I149" s="21"/>
      <c r="J149" s="19"/>
      <c r="K149" s="19"/>
      <c r="L149" s="19"/>
      <c r="M149" s="19"/>
    </row>
    <row r="150" ht="14.1" customHeight="1" spans="1:13">
      <c r="A150" s="22">
        <v>351</v>
      </c>
      <c r="B150" s="19"/>
      <c r="C150" s="19" t="s">
        <v>572</v>
      </c>
      <c r="D150" s="19" t="s">
        <v>39</v>
      </c>
      <c r="E150" s="24">
        <v>2357</v>
      </c>
      <c r="F150" s="19"/>
      <c r="G150" s="19"/>
      <c r="H150" s="21"/>
      <c r="I150" s="21"/>
      <c r="J150" s="19"/>
      <c r="K150" s="19"/>
      <c r="L150" s="19"/>
      <c r="M150" s="19"/>
    </row>
    <row r="151" ht="14.1" customHeight="1" spans="1:13">
      <c r="A151" s="19"/>
      <c r="B151" s="19"/>
      <c r="C151" s="19"/>
      <c r="D151" s="19"/>
      <c r="E151" s="19"/>
      <c r="F151" s="19"/>
      <c r="G151" s="19"/>
      <c r="H151" s="21"/>
      <c r="I151" s="21"/>
      <c r="J151" s="19"/>
      <c r="K151" s="19"/>
      <c r="L151" s="19"/>
      <c r="M151" s="19"/>
    </row>
    <row r="152" ht="14.1" customHeight="1" spans="1:13">
      <c r="A152" s="22">
        <v>352</v>
      </c>
      <c r="B152" s="19"/>
      <c r="C152" s="19" t="s">
        <v>573</v>
      </c>
      <c r="D152" s="19" t="s">
        <v>39</v>
      </c>
      <c r="E152" s="19"/>
      <c r="F152" s="24">
        <v>2634</v>
      </c>
      <c r="G152" s="24">
        <v>2997</v>
      </c>
      <c r="H152" s="23">
        <v>3316</v>
      </c>
      <c r="I152" s="23">
        <v>3881</v>
      </c>
      <c r="J152" s="24">
        <v>4400</v>
      </c>
      <c r="K152" s="19"/>
      <c r="L152" s="19"/>
      <c r="M152" s="19"/>
    </row>
    <row r="153" ht="14.1" customHeight="1" spans="1:13">
      <c r="A153" s="19"/>
      <c r="B153" s="19"/>
      <c r="C153" s="19"/>
      <c r="D153" s="19"/>
      <c r="E153" s="19"/>
      <c r="F153" s="19"/>
      <c r="G153" s="19"/>
      <c r="H153" s="21"/>
      <c r="I153" s="21"/>
      <c r="J153" s="19"/>
      <c r="K153" s="19"/>
      <c r="L153" s="19"/>
      <c r="M153" s="19"/>
    </row>
    <row r="154" ht="14.1" customHeight="1" spans="1:13">
      <c r="A154" s="22">
        <v>353</v>
      </c>
      <c r="B154" s="19"/>
      <c r="C154" s="19" t="s">
        <v>574</v>
      </c>
      <c r="D154" s="19" t="s">
        <v>39</v>
      </c>
      <c r="E154" s="19"/>
      <c r="F154" s="19"/>
      <c r="G154" s="19"/>
      <c r="H154" s="21"/>
      <c r="I154" s="21"/>
      <c r="J154" s="24">
        <v>5075</v>
      </c>
      <c r="K154" s="24">
        <v>5988</v>
      </c>
      <c r="L154" s="24">
        <v>7425</v>
      </c>
      <c r="M154" s="19"/>
    </row>
    <row r="155" ht="14.1" customHeight="1" spans="1:13">
      <c r="A155" s="19"/>
      <c r="B155" s="19"/>
      <c r="C155" s="19"/>
      <c r="D155" s="19"/>
      <c r="E155" s="19"/>
      <c r="F155" s="19"/>
      <c r="G155" s="19"/>
      <c r="H155" s="21"/>
      <c r="I155" s="21"/>
      <c r="J155" s="19"/>
      <c r="K155" s="19"/>
      <c r="L155" s="19"/>
      <c r="M155" s="19"/>
    </row>
    <row r="156" ht="14.1" customHeight="1" spans="1:13">
      <c r="A156" s="22">
        <v>354</v>
      </c>
      <c r="B156" s="19"/>
      <c r="C156" s="19" t="s">
        <v>575</v>
      </c>
      <c r="D156" s="19" t="s">
        <v>39</v>
      </c>
      <c r="E156" s="19"/>
      <c r="F156" s="19"/>
      <c r="G156" s="19"/>
      <c r="H156" s="23">
        <v>3922</v>
      </c>
      <c r="I156" s="23">
        <v>4575</v>
      </c>
      <c r="J156" s="24">
        <v>5750</v>
      </c>
      <c r="K156" s="24">
        <v>6613</v>
      </c>
      <c r="L156" s="24">
        <v>7575</v>
      </c>
      <c r="M156" s="19"/>
    </row>
    <row r="157" ht="14.1" customHeight="1" spans="1:13">
      <c r="A157" s="19"/>
      <c r="B157" s="19"/>
      <c r="C157" s="19"/>
      <c r="D157" s="19"/>
      <c r="E157" s="19"/>
      <c r="F157" s="19"/>
      <c r="G157" s="19"/>
      <c r="H157" s="21"/>
      <c r="I157" s="21"/>
      <c r="J157" s="19"/>
      <c r="K157" s="19"/>
      <c r="L157" s="19"/>
      <c r="M157" s="19"/>
    </row>
    <row r="158" ht="14.1" customHeight="1" spans="1:13">
      <c r="A158" s="22">
        <v>355</v>
      </c>
      <c r="B158" s="19"/>
      <c r="C158" s="19" t="s">
        <v>576</v>
      </c>
      <c r="D158" s="19" t="s">
        <v>39</v>
      </c>
      <c r="E158" s="24">
        <v>2063</v>
      </c>
      <c r="F158" s="19"/>
      <c r="G158" s="19"/>
      <c r="H158" s="21"/>
      <c r="I158" s="21"/>
      <c r="J158" s="19"/>
      <c r="K158" s="19"/>
      <c r="L158" s="19"/>
      <c r="M158" s="19"/>
    </row>
    <row r="159" ht="14.1" customHeight="1" spans="1:13">
      <c r="A159" s="19"/>
      <c r="B159" s="19"/>
      <c r="C159" s="19"/>
      <c r="D159" s="19"/>
      <c r="E159" s="19"/>
      <c r="F159" s="19"/>
      <c r="G159" s="19"/>
      <c r="H159" s="21"/>
      <c r="I159" s="21"/>
      <c r="J159" s="19"/>
      <c r="K159" s="19"/>
      <c r="L159" s="19"/>
      <c r="M159" s="19"/>
    </row>
    <row r="160" ht="14.1" customHeight="1" spans="1:13">
      <c r="A160" s="19"/>
      <c r="B160" s="19"/>
      <c r="C160" s="20" t="s">
        <v>62</v>
      </c>
      <c r="D160" s="19"/>
      <c r="E160" s="19"/>
      <c r="F160" s="19"/>
      <c r="G160" s="19"/>
      <c r="H160" s="21"/>
      <c r="I160" s="21"/>
      <c r="J160" s="19"/>
      <c r="K160" s="19"/>
      <c r="L160" s="19"/>
      <c r="M160" s="19"/>
    </row>
    <row r="161" ht="14.1" customHeight="1" spans="1:13">
      <c r="A161" s="22">
        <v>356</v>
      </c>
      <c r="B161" s="19"/>
      <c r="C161" s="19" t="s">
        <v>577</v>
      </c>
      <c r="D161" s="19" t="s">
        <v>39</v>
      </c>
      <c r="E161" s="24">
        <v>4425</v>
      </c>
      <c r="F161" s="24">
        <v>5200</v>
      </c>
      <c r="G161" s="24">
        <v>5883</v>
      </c>
      <c r="H161" s="23">
        <v>7350</v>
      </c>
      <c r="I161" s="21"/>
      <c r="J161" s="19"/>
      <c r="K161" s="19"/>
      <c r="L161" s="19"/>
      <c r="M161" s="19"/>
    </row>
    <row r="162" ht="14.1" customHeight="1" spans="1:13">
      <c r="A162" s="19"/>
      <c r="B162" s="19"/>
      <c r="C162" s="19"/>
      <c r="D162" s="19"/>
      <c r="E162" s="19"/>
      <c r="F162" s="19"/>
      <c r="G162" s="19"/>
      <c r="H162" s="21"/>
      <c r="I162" s="21"/>
      <c r="J162" s="19"/>
      <c r="K162" s="19"/>
      <c r="L162" s="19"/>
      <c r="M162" s="19"/>
    </row>
    <row r="163" ht="14.1" customHeight="1" spans="1:13">
      <c r="A163" s="22">
        <v>357</v>
      </c>
      <c r="B163" s="19"/>
      <c r="C163" s="19" t="s">
        <v>578</v>
      </c>
      <c r="D163" s="19" t="s">
        <v>39</v>
      </c>
      <c r="E163" s="19"/>
      <c r="F163" s="19"/>
      <c r="G163" s="19"/>
      <c r="H163" s="21"/>
      <c r="I163" s="23">
        <v>9188</v>
      </c>
      <c r="J163" s="24">
        <v>10363</v>
      </c>
      <c r="K163" s="24">
        <v>11538</v>
      </c>
      <c r="L163" s="24">
        <v>13150</v>
      </c>
      <c r="M163" s="24">
        <v>15123</v>
      </c>
    </row>
    <row r="164" ht="14.1" customHeight="1" spans="1:13">
      <c r="A164" s="19"/>
      <c r="B164" s="19"/>
      <c r="C164" s="19"/>
      <c r="D164" s="19"/>
      <c r="E164" s="19"/>
      <c r="F164" s="19"/>
      <c r="G164" s="19"/>
      <c r="H164" s="21"/>
      <c r="I164" s="21"/>
      <c r="J164" s="19"/>
      <c r="K164" s="19"/>
      <c r="L164" s="19"/>
      <c r="M164" s="19"/>
    </row>
    <row r="165" ht="14.1" customHeight="1" spans="1:13">
      <c r="A165" s="22">
        <v>358</v>
      </c>
      <c r="B165" s="19"/>
      <c r="C165" s="19" t="s">
        <v>579</v>
      </c>
      <c r="D165" s="19" t="s">
        <v>39</v>
      </c>
      <c r="E165" s="19"/>
      <c r="F165" s="19"/>
      <c r="G165" s="19"/>
      <c r="H165" s="21"/>
      <c r="I165" s="23">
        <v>9792</v>
      </c>
      <c r="J165" s="24">
        <v>11033</v>
      </c>
      <c r="K165" s="24">
        <v>12417</v>
      </c>
      <c r="L165" s="24">
        <v>14208</v>
      </c>
      <c r="M165" s="19"/>
    </row>
    <row r="166" ht="14.1" customHeight="1" spans="1:13">
      <c r="A166" s="19"/>
      <c r="B166" s="19"/>
      <c r="C166" s="19"/>
      <c r="D166" s="19"/>
      <c r="E166" s="19"/>
      <c r="F166" s="19"/>
      <c r="G166" s="19"/>
      <c r="H166" s="21"/>
      <c r="I166" s="21"/>
      <c r="J166" s="19"/>
      <c r="K166" s="19"/>
      <c r="L166" s="19"/>
      <c r="M166" s="19"/>
    </row>
    <row r="167" ht="14.1" customHeight="1" spans="1:13">
      <c r="A167" s="22">
        <v>359</v>
      </c>
      <c r="B167" s="19"/>
      <c r="C167" s="19" t="s">
        <v>580</v>
      </c>
      <c r="D167" s="19" t="s">
        <v>39</v>
      </c>
      <c r="E167" s="24">
        <v>3979</v>
      </c>
      <c r="F167" s="24">
        <v>4600</v>
      </c>
      <c r="G167" s="24">
        <v>5313</v>
      </c>
      <c r="H167" s="23">
        <v>7388</v>
      </c>
      <c r="I167" s="23">
        <v>8138</v>
      </c>
      <c r="J167" s="24">
        <v>8975</v>
      </c>
      <c r="K167" s="24">
        <v>10275</v>
      </c>
      <c r="L167" s="24">
        <v>11888</v>
      </c>
      <c r="M167" s="24">
        <v>13671</v>
      </c>
    </row>
    <row r="168" ht="14.1" customHeight="1" spans="1:13">
      <c r="A168" s="19"/>
      <c r="B168" s="19"/>
      <c r="C168" s="19"/>
      <c r="D168" s="19"/>
      <c r="E168" s="19"/>
      <c r="F168" s="19"/>
      <c r="G168" s="19"/>
      <c r="H168" s="21"/>
      <c r="I168" s="21"/>
      <c r="J168" s="19"/>
      <c r="K168" s="19"/>
      <c r="L168" s="19"/>
      <c r="M168" s="19"/>
    </row>
    <row r="169" ht="14.1" customHeight="1" spans="1:13">
      <c r="A169" s="22">
        <v>360</v>
      </c>
      <c r="B169" s="19"/>
      <c r="C169" s="19" t="s">
        <v>581</v>
      </c>
      <c r="D169" s="19" t="s">
        <v>39</v>
      </c>
      <c r="E169" s="19"/>
      <c r="F169" s="19"/>
      <c r="G169" s="19"/>
      <c r="H169" s="21"/>
      <c r="I169" s="21"/>
      <c r="J169" s="19"/>
      <c r="K169" s="19"/>
      <c r="L169" s="19"/>
      <c r="M169" s="24">
        <v>13588</v>
      </c>
    </row>
    <row r="170" ht="14.1" customHeight="1" spans="1:13">
      <c r="A170" s="19"/>
      <c r="B170" s="19"/>
      <c r="C170" s="19"/>
      <c r="D170" s="19"/>
      <c r="E170" s="19"/>
      <c r="F170" s="19"/>
      <c r="G170" s="19"/>
      <c r="H170" s="21"/>
      <c r="I170" s="21"/>
      <c r="J170" s="19"/>
      <c r="K170" s="19"/>
      <c r="L170" s="19"/>
      <c r="M170" s="19"/>
    </row>
    <row r="171" ht="14.1" customHeight="1" spans="1:13">
      <c r="A171" s="22">
        <v>361</v>
      </c>
      <c r="B171" s="19"/>
      <c r="C171" s="19" t="s">
        <v>582</v>
      </c>
      <c r="D171" s="19" t="s">
        <v>39</v>
      </c>
      <c r="E171" s="24">
        <v>3513</v>
      </c>
      <c r="F171" s="24">
        <v>3969</v>
      </c>
      <c r="G171" s="24">
        <v>4619</v>
      </c>
      <c r="H171" s="23">
        <v>5217</v>
      </c>
      <c r="I171" s="23">
        <v>6150</v>
      </c>
      <c r="J171" s="24">
        <v>7256</v>
      </c>
      <c r="K171" s="24">
        <v>11181</v>
      </c>
      <c r="L171" s="24">
        <v>13100</v>
      </c>
      <c r="M171" s="19"/>
    </row>
    <row r="172" ht="14.1" customHeight="1" spans="1:13">
      <c r="A172" s="19"/>
      <c r="B172" s="19"/>
      <c r="C172" s="19"/>
      <c r="D172" s="19"/>
      <c r="E172" s="19"/>
      <c r="F172" s="19"/>
      <c r="G172" s="19"/>
      <c r="H172" s="21"/>
      <c r="I172" s="21"/>
      <c r="J172" s="19"/>
      <c r="K172" s="19"/>
      <c r="L172" s="19"/>
      <c r="M172" s="19"/>
    </row>
    <row r="173" ht="14.1" customHeight="1" spans="1:13">
      <c r="A173" s="19"/>
      <c r="B173" s="19"/>
      <c r="C173" s="20" t="s">
        <v>344</v>
      </c>
      <c r="D173" s="19"/>
      <c r="E173" s="19"/>
      <c r="F173" s="19"/>
      <c r="G173" s="19"/>
      <c r="H173" s="21"/>
      <c r="I173" s="21"/>
      <c r="J173" s="19"/>
      <c r="K173" s="19"/>
      <c r="L173" s="19"/>
      <c r="M173" s="19"/>
    </row>
    <row r="174" ht="14.1" customHeight="1" spans="1:13">
      <c r="A174" s="22">
        <v>362</v>
      </c>
      <c r="B174" s="19"/>
      <c r="C174" s="19" t="s">
        <v>583</v>
      </c>
      <c r="D174" s="19" t="s">
        <v>39</v>
      </c>
      <c r="E174" s="19"/>
      <c r="F174" s="24">
        <v>5800</v>
      </c>
      <c r="G174" s="24">
        <v>6908</v>
      </c>
      <c r="H174" s="23">
        <v>8033</v>
      </c>
      <c r="I174" s="23">
        <v>9117</v>
      </c>
      <c r="J174" s="24">
        <v>10450</v>
      </c>
      <c r="K174" s="19"/>
      <c r="L174" s="19"/>
      <c r="M174" s="19"/>
    </row>
    <row r="175" ht="14.1" customHeight="1" spans="1:13">
      <c r="A175" s="19"/>
      <c r="B175" s="19"/>
      <c r="C175" s="19"/>
      <c r="D175" s="19"/>
      <c r="E175" s="19"/>
      <c r="F175" s="19"/>
      <c r="G175" s="19"/>
      <c r="H175" s="21"/>
      <c r="I175" s="21"/>
      <c r="J175" s="19"/>
      <c r="K175" s="19"/>
      <c r="L175" s="19"/>
      <c r="M175" s="19"/>
    </row>
    <row r="176" ht="14.1" customHeight="1" spans="1:13">
      <c r="A176" s="22">
        <v>363</v>
      </c>
      <c r="B176" s="19"/>
      <c r="C176" s="19" t="s">
        <v>584</v>
      </c>
      <c r="D176" s="19" t="s">
        <v>39</v>
      </c>
      <c r="E176" s="19"/>
      <c r="F176" s="19"/>
      <c r="G176" s="19"/>
      <c r="H176" s="21"/>
      <c r="I176" s="21"/>
      <c r="J176" s="19"/>
      <c r="K176" s="19"/>
      <c r="L176" s="19"/>
      <c r="M176" s="24">
        <v>14046</v>
      </c>
    </row>
    <row r="177" ht="14.1" customHeight="1" spans="1:13">
      <c r="A177" s="19"/>
      <c r="B177" s="19"/>
      <c r="C177" s="19"/>
      <c r="D177" s="19"/>
      <c r="E177" s="19"/>
      <c r="F177" s="19"/>
      <c r="G177" s="19"/>
      <c r="H177" s="21"/>
      <c r="I177" s="21"/>
      <c r="J177" s="19"/>
      <c r="K177" s="19"/>
      <c r="L177" s="19"/>
      <c r="M177" s="19"/>
    </row>
    <row r="178" ht="14.1" customHeight="1" spans="1:13">
      <c r="A178" s="19"/>
      <c r="B178" s="19"/>
      <c r="C178" s="20" t="s">
        <v>67</v>
      </c>
      <c r="D178" s="19"/>
      <c r="E178" s="19"/>
      <c r="F178" s="19"/>
      <c r="G178" s="19"/>
      <c r="H178" s="21"/>
      <c r="I178" s="21"/>
      <c r="J178" s="19"/>
      <c r="K178" s="19"/>
      <c r="L178" s="19"/>
      <c r="M178" s="19"/>
    </row>
    <row r="179" ht="14.1" customHeight="1" spans="1:13">
      <c r="A179" s="22">
        <v>364</v>
      </c>
      <c r="B179" s="19"/>
      <c r="C179" s="19" t="s">
        <v>585</v>
      </c>
      <c r="D179" s="19" t="s">
        <v>39</v>
      </c>
      <c r="E179" s="19"/>
      <c r="F179" s="19"/>
      <c r="G179" s="19"/>
      <c r="H179" s="21"/>
      <c r="I179" s="21"/>
      <c r="J179" s="24">
        <v>9642</v>
      </c>
      <c r="K179" s="24">
        <v>11933</v>
      </c>
      <c r="L179" s="24">
        <v>14517</v>
      </c>
      <c r="M179" s="19"/>
    </row>
    <row r="180" ht="14.1" customHeight="1" spans="1:13">
      <c r="A180" s="19"/>
      <c r="B180" s="19"/>
      <c r="C180" s="19"/>
      <c r="D180" s="19"/>
      <c r="E180" s="19"/>
      <c r="F180" s="19"/>
      <c r="G180" s="19"/>
      <c r="H180" s="21"/>
      <c r="I180" s="21"/>
      <c r="J180" s="19"/>
      <c r="K180" s="19"/>
      <c r="L180" s="19"/>
      <c r="M180" s="19"/>
    </row>
    <row r="181" ht="14.1" customHeight="1" spans="1:13">
      <c r="A181" s="2"/>
      <c r="B181" s="2"/>
      <c r="C181" s="2" t="s">
        <v>380</v>
      </c>
      <c r="D181" s="2"/>
      <c r="E181" s="2"/>
      <c r="F181" s="2"/>
      <c r="G181" s="2"/>
      <c r="H181" s="4"/>
      <c r="I181" s="4"/>
      <c r="J181" s="2"/>
      <c r="K181" s="2"/>
      <c r="L181" s="2"/>
      <c r="M181" s="2"/>
    </row>
    <row r="182" ht="14.1" customHeight="1" spans="1:13">
      <c r="A182" s="6"/>
      <c r="B182" s="5"/>
      <c r="C182" s="5" t="s">
        <v>586</v>
      </c>
      <c r="D182" s="5"/>
      <c r="E182" s="6"/>
      <c r="F182" s="6"/>
      <c r="G182" s="6"/>
      <c r="H182" s="8"/>
      <c r="I182" s="8"/>
      <c r="J182" s="6"/>
      <c r="K182" s="6"/>
      <c r="L182" s="6"/>
      <c r="M182" s="6"/>
    </row>
    <row r="183" ht="14.1" customHeight="1" spans="1:13">
      <c r="A183" s="5"/>
      <c r="B183" s="5"/>
      <c r="C183" s="6"/>
      <c r="D183" s="5"/>
      <c r="E183" s="5"/>
      <c r="F183" s="5"/>
      <c r="G183" s="5"/>
      <c r="H183" s="11"/>
      <c r="I183" s="11"/>
      <c r="J183" s="5"/>
      <c r="K183" s="5"/>
      <c r="L183" s="5"/>
      <c r="M183" s="5"/>
    </row>
    <row r="184" ht="14.1" customHeight="1" spans="1:13">
      <c r="A184" s="6"/>
      <c r="B184" s="5"/>
      <c r="C184" s="6"/>
      <c r="D184" s="5"/>
      <c r="E184" s="6"/>
      <c r="F184" s="6"/>
      <c r="G184" s="6"/>
      <c r="H184" s="8"/>
      <c r="I184" s="8"/>
      <c r="J184" s="6"/>
      <c r="K184" s="6"/>
      <c r="L184" s="6"/>
      <c r="M184" s="6"/>
    </row>
    <row r="185" ht="14.1" customHeight="1" spans="1:13">
      <c r="A185" s="25">
        <v>365</v>
      </c>
      <c r="B185" s="14"/>
      <c r="C185" s="31"/>
      <c r="D185" s="14"/>
      <c r="E185" s="26">
        <v>2801</v>
      </c>
      <c r="F185" s="26">
        <v>3620</v>
      </c>
      <c r="G185" s="26">
        <v>4095</v>
      </c>
      <c r="H185" s="27">
        <v>5066</v>
      </c>
      <c r="I185" s="27">
        <v>5799</v>
      </c>
      <c r="J185" s="26">
        <v>6959</v>
      </c>
      <c r="K185" s="26">
        <v>8745</v>
      </c>
      <c r="L185" s="26">
        <v>10121</v>
      </c>
      <c r="M185" s="26">
        <v>13461</v>
      </c>
    </row>
    <row r="186" ht="14.1" customHeight="1" spans="1:13">
      <c r="A186" s="19"/>
      <c r="B186" s="19"/>
      <c r="C186" s="19"/>
      <c r="D186" s="19"/>
      <c r="E186" s="19"/>
      <c r="F186" s="19"/>
      <c r="G186" s="19"/>
      <c r="H186" s="21"/>
      <c r="I186" s="21"/>
      <c r="J186" s="19"/>
      <c r="K186" s="19"/>
      <c r="L186" s="19"/>
      <c r="M186" s="19"/>
    </row>
  </sheetData>
  <mergeCells count="2">
    <mergeCell ref="B181:B185"/>
    <mergeCell ref="D181:D18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4"/>
  <sheetViews>
    <sheetView topLeftCell="B19" workbookViewId="0">
      <selection activeCell="M2" sqref="M2"/>
    </sheetView>
  </sheetViews>
  <sheetFormatPr defaultColWidth="11.4259259259259" defaultRowHeight="14.4"/>
  <cols>
    <col min="1" max="2" width="12.712962962963" customWidth="1"/>
    <col min="3" max="3" width="34.712962962963" customWidth="1"/>
    <col min="4" max="4" width="18.1388888888889" customWidth="1"/>
    <col min="5" max="7" width="12.712962962963" customWidth="1"/>
    <col min="8" max="9" width="12.712962962963" style="1" customWidth="1"/>
    <col min="10" max="13" width="12.712962962963" customWidth="1"/>
  </cols>
  <sheetData>
    <row r="1" spans="1:13">
      <c r="E1" s="35">
        <v>2009</v>
      </c>
      <c r="F1" s="35">
        <v>2010</v>
      </c>
      <c r="G1" s="35">
        <v>2011</v>
      </c>
      <c r="H1" s="35">
        <v>2017</v>
      </c>
      <c r="I1" s="35">
        <v>2018</v>
      </c>
      <c r="J1" s="35">
        <v>2019</v>
      </c>
      <c r="K1" s="35">
        <v>2020</v>
      </c>
      <c r="L1" s="35">
        <v>2021</v>
      </c>
      <c r="M1" s="35">
        <v>2022</v>
      </c>
    </row>
    <row r="2" ht="20.25" customHeight="1" spans="1:13">
      <c r="A2" s="19"/>
      <c r="B2" s="19"/>
      <c r="C2" s="36" t="s">
        <v>505</v>
      </c>
      <c r="D2" s="34" t="s">
        <v>26</v>
      </c>
      <c r="E2" s="18" t="s">
        <v>27</v>
      </c>
      <c r="F2" s="18" t="s">
        <v>28</v>
      </c>
      <c r="G2" s="18" t="s">
        <v>29</v>
      </c>
      <c r="H2" s="18" t="s">
        <v>30</v>
      </c>
      <c r="I2" s="18" t="s">
        <v>31</v>
      </c>
      <c r="J2" s="18" t="s">
        <v>32</v>
      </c>
      <c r="K2" s="18" t="s">
        <v>33</v>
      </c>
      <c r="L2" s="18" t="s">
        <v>34</v>
      </c>
      <c r="M2" s="18" t="s">
        <v>35</v>
      </c>
    </row>
    <row r="3" ht="14.1" customHeight="1" spans="1:13">
      <c r="A3" s="19"/>
      <c r="B3" s="19"/>
      <c r="C3" s="20" t="s">
        <v>158</v>
      </c>
      <c r="D3" s="19"/>
      <c r="E3" s="19"/>
      <c r="F3" s="19"/>
      <c r="G3" s="19"/>
      <c r="H3" s="21"/>
      <c r="I3" s="21"/>
      <c r="J3" s="19"/>
      <c r="K3" s="19"/>
      <c r="L3" s="19"/>
      <c r="M3" s="19"/>
    </row>
    <row r="4" ht="14.1" customHeight="1" spans="1:13">
      <c r="A4" s="22">
        <v>511</v>
      </c>
      <c r="B4" s="19"/>
      <c r="C4" s="19" t="s">
        <v>587</v>
      </c>
      <c r="D4" s="19" t="s">
        <v>39</v>
      </c>
      <c r="E4" s="19"/>
      <c r="F4" s="19"/>
      <c r="G4" s="19"/>
      <c r="H4" s="21"/>
      <c r="I4" s="23">
        <v>9881</v>
      </c>
      <c r="J4" s="24">
        <v>11285</v>
      </c>
      <c r="K4" s="24">
        <v>13910</v>
      </c>
      <c r="L4" s="24">
        <v>17340</v>
      </c>
      <c r="M4" s="24">
        <v>19941</v>
      </c>
    </row>
    <row r="5" ht="14.1" customHeight="1" spans="1:13">
      <c r="A5" s="19"/>
      <c r="B5" s="19"/>
      <c r="C5" s="19"/>
      <c r="D5" s="19"/>
      <c r="E5" s="19"/>
      <c r="F5" s="19"/>
      <c r="G5" s="19"/>
      <c r="H5" s="21"/>
      <c r="I5" s="21"/>
      <c r="J5" s="19"/>
      <c r="K5" s="19"/>
      <c r="L5" s="19"/>
      <c r="M5" s="19"/>
    </row>
    <row r="6" ht="14.1" customHeight="1" spans="1:13">
      <c r="A6" s="22">
        <v>512</v>
      </c>
      <c r="B6" s="19"/>
      <c r="C6" s="19" t="s">
        <v>588</v>
      </c>
      <c r="D6" s="19" t="s">
        <v>39</v>
      </c>
      <c r="E6" s="19"/>
      <c r="F6" s="19"/>
      <c r="G6" s="19"/>
      <c r="H6" s="21"/>
      <c r="I6" s="21"/>
      <c r="J6" s="19"/>
      <c r="K6" s="19"/>
      <c r="L6" s="19"/>
      <c r="M6" s="24">
        <v>25163</v>
      </c>
    </row>
    <row r="7" ht="14.1" customHeight="1" spans="1:13">
      <c r="A7" s="19"/>
      <c r="B7" s="19"/>
      <c r="C7" s="19"/>
      <c r="D7" s="19"/>
      <c r="E7" s="19"/>
      <c r="F7" s="19"/>
      <c r="G7" s="19"/>
      <c r="H7" s="21"/>
      <c r="I7" s="21"/>
      <c r="J7" s="19"/>
      <c r="K7" s="19"/>
      <c r="L7" s="19"/>
      <c r="M7" s="19"/>
    </row>
    <row r="8" ht="14.1" customHeight="1" spans="1:13">
      <c r="A8" s="19"/>
      <c r="B8" s="19"/>
      <c r="C8" s="20" t="s">
        <v>164</v>
      </c>
      <c r="D8" s="19"/>
      <c r="E8" s="19"/>
      <c r="F8" s="19"/>
      <c r="G8" s="19"/>
      <c r="H8" s="21"/>
      <c r="I8" s="21"/>
      <c r="J8" s="19"/>
      <c r="K8" s="19"/>
      <c r="L8" s="19"/>
      <c r="M8" s="19"/>
    </row>
    <row r="9" ht="14.1" customHeight="1" spans="1:13">
      <c r="A9" s="22">
        <v>513</v>
      </c>
      <c r="B9" s="19"/>
      <c r="C9" s="19" t="s">
        <v>589</v>
      </c>
      <c r="D9" s="19" t="s">
        <v>39</v>
      </c>
      <c r="E9" s="19"/>
      <c r="F9" s="19"/>
      <c r="G9" s="19"/>
      <c r="H9" s="21"/>
      <c r="I9" s="21"/>
      <c r="J9" s="19"/>
      <c r="K9" s="19"/>
      <c r="L9" s="19"/>
      <c r="M9" s="24">
        <v>26138</v>
      </c>
    </row>
    <row r="10" ht="14.1" customHeight="1" spans="1:13">
      <c r="A10" s="19"/>
      <c r="B10" s="19"/>
      <c r="C10" s="19"/>
      <c r="D10" s="19"/>
      <c r="E10" s="19"/>
      <c r="F10" s="19"/>
      <c r="G10" s="19"/>
      <c r="H10" s="21"/>
      <c r="I10" s="21"/>
      <c r="J10" s="19"/>
      <c r="K10" s="19"/>
      <c r="L10" s="19"/>
      <c r="M10" s="19"/>
    </row>
    <row r="11" ht="14.1" customHeight="1" spans="1:13">
      <c r="A11" s="22">
        <v>514</v>
      </c>
      <c r="B11" s="19"/>
      <c r="C11" s="19" t="s">
        <v>508</v>
      </c>
      <c r="D11" s="19" t="s">
        <v>39</v>
      </c>
      <c r="E11" s="19"/>
      <c r="F11" s="19"/>
      <c r="G11" s="19"/>
      <c r="H11" s="21"/>
      <c r="I11" s="21"/>
      <c r="J11" s="19"/>
      <c r="K11" s="19"/>
      <c r="L11" s="19"/>
      <c r="M11" s="24">
        <v>29252</v>
      </c>
    </row>
    <row r="12" ht="14.1" customHeight="1" spans="1:13">
      <c r="A12" s="19"/>
      <c r="B12" s="19"/>
      <c r="C12" s="19"/>
      <c r="D12" s="19"/>
      <c r="E12" s="19"/>
      <c r="F12" s="19"/>
      <c r="G12" s="19"/>
      <c r="H12" s="21"/>
      <c r="I12" s="21"/>
      <c r="J12" s="19"/>
      <c r="K12" s="19"/>
      <c r="L12" s="19"/>
      <c r="M12" s="19"/>
    </row>
    <row r="13" ht="14.1" customHeight="1" spans="1:13">
      <c r="A13" s="19"/>
      <c r="B13" s="19"/>
      <c r="C13" s="20" t="s">
        <v>176</v>
      </c>
      <c r="D13" s="19"/>
      <c r="E13" s="19"/>
      <c r="F13" s="19"/>
      <c r="G13" s="19"/>
      <c r="H13" s="21"/>
      <c r="I13" s="21"/>
      <c r="J13" s="19"/>
      <c r="K13" s="19"/>
      <c r="L13" s="19"/>
      <c r="M13" s="19"/>
    </row>
    <row r="14" ht="14.1" customHeight="1" spans="1:13">
      <c r="A14" s="22">
        <v>515</v>
      </c>
      <c r="B14" s="19"/>
      <c r="C14" s="19" t="s">
        <v>590</v>
      </c>
      <c r="D14" s="19" t="s">
        <v>39</v>
      </c>
      <c r="E14" s="19"/>
      <c r="F14" s="19"/>
      <c r="G14" s="19"/>
      <c r="H14" s="21"/>
      <c r="I14" s="23">
        <v>12550</v>
      </c>
      <c r="J14" s="24">
        <v>14325</v>
      </c>
      <c r="K14" s="24">
        <v>17000</v>
      </c>
      <c r="L14" s="24">
        <v>20150</v>
      </c>
      <c r="M14" s="24">
        <v>23173</v>
      </c>
    </row>
    <row r="15" ht="14.1" customHeight="1" spans="1:13">
      <c r="A15" s="19"/>
      <c r="B15" s="19"/>
      <c r="C15" s="19"/>
      <c r="D15" s="19"/>
      <c r="E15" s="19"/>
      <c r="F15" s="19"/>
      <c r="G15" s="19"/>
      <c r="H15" s="21"/>
      <c r="I15" s="21"/>
      <c r="J15" s="19"/>
      <c r="K15" s="19"/>
      <c r="L15" s="19"/>
      <c r="M15" s="19"/>
    </row>
    <row r="16" ht="14.1" customHeight="1" spans="1:13">
      <c r="A16" s="22">
        <v>516</v>
      </c>
      <c r="B16" s="19"/>
      <c r="C16" s="19" t="s">
        <v>591</v>
      </c>
      <c r="D16" s="19" t="s">
        <v>39</v>
      </c>
      <c r="E16" s="19"/>
      <c r="F16" s="19"/>
      <c r="G16" s="24">
        <v>9325</v>
      </c>
      <c r="H16" s="21"/>
      <c r="I16" s="23">
        <v>15400</v>
      </c>
      <c r="J16" s="24">
        <v>18425</v>
      </c>
      <c r="K16" s="24">
        <v>21775</v>
      </c>
      <c r="L16" s="24">
        <v>25675</v>
      </c>
      <c r="M16" s="19"/>
    </row>
    <row r="17" ht="14.1" customHeight="1" spans="1:13">
      <c r="A17" s="19"/>
      <c r="B17" s="19"/>
      <c r="C17" s="19"/>
      <c r="D17" s="19"/>
      <c r="E17" s="19"/>
      <c r="F17" s="19"/>
      <c r="G17" s="19"/>
      <c r="H17" s="21"/>
      <c r="I17" s="21"/>
      <c r="J17" s="19"/>
      <c r="K17" s="19"/>
      <c r="L17" s="19"/>
      <c r="M17" s="19"/>
    </row>
    <row r="18" ht="14.1" customHeight="1" spans="1:13">
      <c r="A18" s="22">
        <v>517</v>
      </c>
      <c r="B18" s="19"/>
      <c r="C18" s="19" t="s">
        <v>592</v>
      </c>
      <c r="D18" s="19" t="s">
        <v>39</v>
      </c>
      <c r="E18" s="19"/>
      <c r="F18" s="19"/>
      <c r="G18" s="19"/>
      <c r="H18" s="21"/>
      <c r="I18" s="21"/>
      <c r="J18" s="19"/>
      <c r="K18" s="19"/>
      <c r="L18" s="19"/>
      <c r="M18" s="24">
        <v>47550</v>
      </c>
    </row>
    <row r="19" ht="14.1" customHeight="1" spans="1:13">
      <c r="A19" s="19"/>
      <c r="B19" s="19"/>
      <c r="C19" s="19"/>
      <c r="D19" s="19"/>
      <c r="E19" s="19"/>
      <c r="F19" s="19"/>
      <c r="G19" s="19"/>
      <c r="H19" s="21"/>
      <c r="I19" s="21"/>
      <c r="J19" s="19"/>
      <c r="K19" s="19"/>
      <c r="L19" s="19"/>
      <c r="M19" s="19"/>
    </row>
    <row r="20" ht="14.1" customHeight="1" spans="1:13">
      <c r="A20" s="19"/>
      <c r="B20" s="19"/>
      <c r="C20" s="20" t="s">
        <v>181</v>
      </c>
      <c r="D20" s="19"/>
      <c r="E20" s="19"/>
      <c r="F20" s="19"/>
      <c r="G20" s="19"/>
      <c r="H20" s="21"/>
      <c r="I20" s="21"/>
      <c r="J20" s="19"/>
      <c r="K20" s="19"/>
      <c r="L20" s="19"/>
      <c r="M20" s="19"/>
    </row>
    <row r="21" ht="14.1" customHeight="1" spans="1:13">
      <c r="A21" s="22">
        <v>518</v>
      </c>
      <c r="B21" s="19"/>
      <c r="C21" s="19" t="s">
        <v>593</v>
      </c>
      <c r="D21" s="19" t="s">
        <v>39</v>
      </c>
      <c r="E21" s="19"/>
      <c r="F21" s="19"/>
      <c r="G21" s="19"/>
      <c r="H21" s="21"/>
      <c r="I21" s="21"/>
      <c r="J21" s="19"/>
      <c r="K21" s="19"/>
      <c r="L21" s="19"/>
      <c r="M21" s="24">
        <v>18381</v>
      </c>
    </row>
    <row r="22" ht="14.1" customHeight="1" spans="1:13">
      <c r="A22" s="19"/>
      <c r="B22" s="19"/>
      <c r="C22" s="19"/>
      <c r="D22" s="19"/>
      <c r="E22" s="19"/>
      <c r="F22" s="19"/>
      <c r="G22" s="19"/>
      <c r="H22" s="21"/>
      <c r="I22" s="21"/>
      <c r="J22" s="19"/>
      <c r="K22" s="19"/>
      <c r="L22" s="19"/>
      <c r="M22" s="19"/>
    </row>
    <row r="23" ht="14.1" customHeight="1" spans="1:13">
      <c r="A23" s="22">
        <v>519</v>
      </c>
      <c r="B23" s="19"/>
      <c r="C23" s="19" t="s">
        <v>594</v>
      </c>
      <c r="D23" s="19" t="s">
        <v>39</v>
      </c>
      <c r="E23" s="19"/>
      <c r="F23" s="19"/>
      <c r="G23" s="19"/>
      <c r="H23" s="21"/>
      <c r="I23" s="21"/>
      <c r="J23" s="19"/>
      <c r="K23" s="24">
        <v>8967</v>
      </c>
      <c r="L23" s="24">
        <v>11217</v>
      </c>
      <c r="M23" s="19"/>
    </row>
    <row r="24" ht="14.1" customHeight="1" spans="1:13">
      <c r="A24" s="19"/>
      <c r="B24" s="19"/>
      <c r="C24" s="19"/>
      <c r="D24" s="19"/>
      <c r="E24" s="19"/>
      <c r="F24" s="19"/>
      <c r="G24" s="19"/>
      <c r="H24" s="21"/>
      <c r="I24" s="21"/>
      <c r="J24" s="19"/>
      <c r="K24" s="19"/>
      <c r="L24" s="19"/>
      <c r="M24" s="19"/>
    </row>
    <row r="25" ht="14.1" customHeight="1" spans="1:13">
      <c r="A25" s="22">
        <v>520</v>
      </c>
      <c r="B25" s="19"/>
      <c r="C25" s="19" t="s">
        <v>595</v>
      </c>
      <c r="D25" s="19" t="s">
        <v>39</v>
      </c>
      <c r="E25" s="19"/>
      <c r="F25" s="19"/>
      <c r="G25" s="19"/>
      <c r="H25" s="21"/>
      <c r="I25" s="23">
        <v>4817</v>
      </c>
      <c r="J25" s="24">
        <v>5750</v>
      </c>
      <c r="K25" s="24">
        <v>7070</v>
      </c>
      <c r="L25" s="24">
        <v>8888</v>
      </c>
      <c r="M25" s="19"/>
    </row>
    <row r="26" ht="14.1" customHeight="1" spans="1:13">
      <c r="A26" s="19"/>
      <c r="B26" s="19"/>
      <c r="C26" s="19"/>
      <c r="D26" s="19"/>
      <c r="E26" s="19"/>
      <c r="F26" s="19"/>
      <c r="G26" s="19"/>
      <c r="H26" s="21"/>
      <c r="I26" s="21"/>
      <c r="J26" s="19"/>
      <c r="K26" s="19"/>
      <c r="L26" s="19"/>
      <c r="M26" s="19"/>
    </row>
    <row r="27" ht="14.1" customHeight="1" spans="1:13">
      <c r="A27" s="22">
        <v>521</v>
      </c>
      <c r="B27" s="19"/>
      <c r="C27" s="19" t="s">
        <v>596</v>
      </c>
      <c r="D27" s="19" t="s">
        <v>39</v>
      </c>
      <c r="E27" s="19"/>
      <c r="F27" s="19"/>
      <c r="G27" s="19"/>
      <c r="H27" s="21"/>
      <c r="I27" s="21"/>
      <c r="J27" s="19"/>
      <c r="K27" s="19"/>
      <c r="L27" s="24">
        <v>8513</v>
      </c>
      <c r="M27" s="19"/>
    </row>
    <row r="28" ht="14.1" customHeight="1" spans="1:13">
      <c r="A28" s="19"/>
      <c r="B28" s="19"/>
      <c r="C28" s="19"/>
      <c r="D28" s="19"/>
      <c r="E28" s="19"/>
      <c r="F28" s="19"/>
      <c r="G28" s="19"/>
      <c r="H28" s="21"/>
      <c r="I28" s="21"/>
      <c r="J28" s="19"/>
      <c r="K28" s="19"/>
      <c r="L28" s="19"/>
      <c r="M28" s="19"/>
    </row>
    <row r="29" ht="14.1" customHeight="1" spans="1:13">
      <c r="A29" s="19"/>
      <c r="B29" s="19"/>
      <c r="C29" s="20" t="s">
        <v>184</v>
      </c>
      <c r="D29" s="19"/>
      <c r="E29" s="19"/>
      <c r="F29" s="19"/>
      <c r="G29" s="19"/>
      <c r="H29" s="21"/>
      <c r="I29" s="21"/>
      <c r="J29" s="19"/>
      <c r="K29" s="19"/>
      <c r="L29" s="19"/>
      <c r="M29" s="19"/>
    </row>
    <row r="30" ht="14.1" customHeight="1" spans="1:13">
      <c r="A30" s="22">
        <v>522</v>
      </c>
      <c r="B30" s="19"/>
      <c r="C30" s="19" t="s">
        <v>597</v>
      </c>
      <c r="D30" s="19" t="s">
        <v>39</v>
      </c>
      <c r="E30" s="19"/>
      <c r="F30" s="24">
        <v>5700</v>
      </c>
      <c r="G30" s="24">
        <v>6450</v>
      </c>
      <c r="H30" s="21"/>
      <c r="I30" s="23">
        <v>11592</v>
      </c>
      <c r="J30" s="24">
        <v>13800</v>
      </c>
      <c r="K30" s="24">
        <v>16710</v>
      </c>
      <c r="L30" s="24">
        <v>20360</v>
      </c>
      <c r="M30" s="24">
        <v>23414</v>
      </c>
    </row>
    <row r="31" ht="14.1" customHeight="1" spans="1:13">
      <c r="A31" s="19"/>
      <c r="B31" s="19"/>
      <c r="C31" s="19"/>
      <c r="D31" s="19"/>
      <c r="E31" s="19"/>
      <c r="F31" s="19"/>
      <c r="G31" s="19"/>
      <c r="H31" s="21"/>
      <c r="I31" s="21"/>
      <c r="J31" s="19"/>
      <c r="K31" s="19"/>
      <c r="L31" s="19"/>
      <c r="M31" s="19"/>
    </row>
    <row r="32" ht="14.1" customHeight="1" spans="1:13">
      <c r="A32" s="22">
        <v>523</v>
      </c>
      <c r="B32" s="19"/>
      <c r="C32" s="19" t="s">
        <v>598</v>
      </c>
      <c r="D32" s="19" t="s">
        <v>39</v>
      </c>
      <c r="E32" s="19"/>
      <c r="F32" s="19"/>
      <c r="G32" s="19"/>
      <c r="H32" s="21"/>
      <c r="I32" s="21"/>
      <c r="J32" s="19"/>
      <c r="K32" s="19"/>
      <c r="L32" s="19"/>
      <c r="M32" s="24">
        <v>35025</v>
      </c>
    </row>
    <row r="33" ht="14.1" customHeight="1" spans="1:13">
      <c r="A33" s="19"/>
      <c r="B33" s="19"/>
      <c r="C33" s="19"/>
      <c r="D33" s="19"/>
      <c r="E33" s="19"/>
      <c r="F33" s="19"/>
      <c r="G33" s="19"/>
      <c r="H33" s="21"/>
      <c r="I33" s="21"/>
      <c r="J33" s="19"/>
      <c r="K33" s="19"/>
      <c r="L33" s="19"/>
      <c r="M33" s="19"/>
    </row>
    <row r="34" ht="14.1" customHeight="1" spans="1:13">
      <c r="A34" s="22">
        <v>524</v>
      </c>
      <c r="B34" s="19"/>
      <c r="C34" s="19" t="s">
        <v>599</v>
      </c>
      <c r="D34" s="19" t="s">
        <v>39</v>
      </c>
      <c r="E34" s="19"/>
      <c r="F34" s="19"/>
      <c r="G34" s="19"/>
      <c r="H34" s="21"/>
      <c r="I34" s="21"/>
      <c r="J34" s="19"/>
      <c r="K34" s="19"/>
      <c r="L34" s="19"/>
      <c r="M34" s="24">
        <v>34250</v>
      </c>
    </row>
    <row r="35" ht="14.1" customHeight="1" spans="1:13">
      <c r="A35" s="19"/>
      <c r="B35" s="19"/>
      <c r="C35" s="19"/>
      <c r="D35" s="19"/>
      <c r="E35" s="19"/>
      <c r="F35" s="19"/>
      <c r="G35" s="19"/>
      <c r="H35" s="21"/>
      <c r="I35" s="21"/>
      <c r="J35" s="19"/>
      <c r="K35" s="19"/>
      <c r="L35" s="19"/>
      <c r="M35" s="19"/>
    </row>
    <row r="36" ht="14.1" customHeight="1" spans="1:13">
      <c r="A36" s="22">
        <v>525</v>
      </c>
      <c r="B36" s="19"/>
      <c r="C36" s="19" t="s">
        <v>600</v>
      </c>
      <c r="D36" s="19" t="s">
        <v>39</v>
      </c>
      <c r="E36" s="19"/>
      <c r="F36" s="19"/>
      <c r="G36" s="19"/>
      <c r="H36" s="21"/>
      <c r="I36" s="21"/>
      <c r="J36" s="19"/>
      <c r="K36" s="24">
        <v>11130</v>
      </c>
      <c r="L36" s="24">
        <v>14105</v>
      </c>
      <c r="M36" s="24">
        <v>16221</v>
      </c>
    </row>
    <row r="37" ht="14.1" customHeight="1" spans="1:13">
      <c r="A37" s="19"/>
      <c r="B37" s="19"/>
      <c r="C37" s="19"/>
      <c r="D37" s="19"/>
      <c r="E37" s="19"/>
      <c r="F37" s="19"/>
      <c r="G37" s="19"/>
      <c r="H37" s="21"/>
      <c r="I37" s="21"/>
      <c r="J37" s="19"/>
      <c r="K37" s="19"/>
      <c r="L37" s="19"/>
      <c r="M37" s="19"/>
    </row>
    <row r="38" ht="14.1" customHeight="1" spans="1:13">
      <c r="A38" s="19"/>
      <c r="B38" s="19"/>
      <c r="C38" s="20" t="s">
        <v>37</v>
      </c>
      <c r="D38" s="19"/>
      <c r="E38" s="19"/>
      <c r="F38" s="19"/>
      <c r="G38" s="19"/>
      <c r="H38" s="21"/>
      <c r="I38" s="21"/>
      <c r="J38" s="19"/>
      <c r="K38" s="19"/>
      <c r="L38" s="19"/>
      <c r="M38" s="19"/>
    </row>
    <row r="39" ht="14.1" customHeight="1" spans="1:13">
      <c r="A39" s="22">
        <v>526</v>
      </c>
      <c r="B39" s="19"/>
      <c r="C39" s="19" t="s">
        <v>601</v>
      </c>
      <c r="D39" s="19" t="s">
        <v>39</v>
      </c>
      <c r="E39" s="24">
        <v>1925</v>
      </c>
      <c r="F39" s="24">
        <v>2238</v>
      </c>
      <c r="G39" s="24">
        <v>2525</v>
      </c>
      <c r="H39" s="23">
        <v>3183</v>
      </c>
      <c r="I39" s="23">
        <v>3792</v>
      </c>
      <c r="J39" s="24">
        <v>4306</v>
      </c>
      <c r="K39" s="24">
        <v>5244</v>
      </c>
      <c r="L39" s="24">
        <v>6581</v>
      </c>
      <c r="M39" s="19"/>
    </row>
    <row r="40" ht="14.1" customHeight="1" spans="1:13">
      <c r="A40" s="19"/>
      <c r="B40" s="19"/>
      <c r="C40" s="19"/>
      <c r="D40" s="19"/>
      <c r="E40" s="19"/>
      <c r="F40" s="19"/>
      <c r="G40" s="19"/>
      <c r="H40" s="21"/>
      <c r="I40" s="21"/>
      <c r="J40" s="19"/>
      <c r="K40" s="19"/>
      <c r="L40" s="19"/>
      <c r="M40" s="19"/>
    </row>
    <row r="41" ht="14.1" customHeight="1" spans="1:13">
      <c r="A41" s="22">
        <v>527</v>
      </c>
      <c r="B41" s="19"/>
      <c r="C41" s="19" t="s">
        <v>602</v>
      </c>
      <c r="D41" s="19" t="s">
        <v>39</v>
      </c>
      <c r="E41" s="24">
        <v>2206</v>
      </c>
      <c r="F41" s="24">
        <v>2406</v>
      </c>
      <c r="G41" s="24">
        <v>2800</v>
      </c>
      <c r="H41" s="23">
        <v>3275</v>
      </c>
      <c r="I41" s="23">
        <v>3760</v>
      </c>
      <c r="J41" s="24">
        <v>4355</v>
      </c>
      <c r="K41" s="24">
        <v>5170</v>
      </c>
      <c r="L41" s="24">
        <v>5738</v>
      </c>
      <c r="M41" s="19"/>
    </row>
    <row r="42" ht="14.1" customHeight="1" spans="1:13">
      <c r="A42" s="19"/>
      <c r="B42" s="19"/>
      <c r="C42" s="19"/>
      <c r="D42" s="19"/>
      <c r="E42" s="19"/>
      <c r="F42" s="19"/>
      <c r="G42" s="19"/>
      <c r="H42" s="21"/>
      <c r="I42" s="21"/>
      <c r="J42" s="19"/>
      <c r="K42" s="19"/>
      <c r="L42" s="19"/>
      <c r="M42" s="19"/>
    </row>
    <row r="43" ht="14.1" customHeight="1" spans="1:13">
      <c r="A43" s="22">
        <v>528</v>
      </c>
      <c r="B43" s="19"/>
      <c r="C43" s="19" t="s">
        <v>514</v>
      </c>
      <c r="D43" s="19" t="s">
        <v>39</v>
      </c>
      <c r="E43" s="19"/>
      <c r="F43" s="19"/>
      <c r="G43" s="19"/>
      <c r="H43" s="21"/>
      <c r="I43" s="21"/>
      <c r="J43" s="19"/>
      <c r="K43" s="19"/>
      <c r="L43" s="24">
        <v>8769</v>
      </c>
      <c r="M43" s="24">
        <v>10084</v>
      </c>
    </row>
    <row r="44" ht="14.1" customHeight="1" spans="1:13">
      <c r="A44" s="19"/>
      <c r="B44" s="19"/>
      <c r="C44" s="19"/>
      <c r="D44" s="19"/>
      <c r="E44" s="19"/>
      <c r="F44" s="19"/>
      <c r="G44" s="19"/>
      <c r="H44" s="21"/>
      <c r="I44" s="21"/>
      <c r="J44" s="19"/>
      <c r="K44" s="19"/>
      <c r="L44" s="19"/>
      <c r="M44" s="19"/>
    </row>
    <row r="45" ht="14.1" customHeight="1" spans="1:13">
      <c r="A45" s="22">
        <v>529</v>
      </c>
      <c r="B45" s="19"/>
      <c r="C45" s="19" t="s">
        <v>603</v>
      </c>
      <c r="D45" s="19" t="s">
        <v>39</v>
      </c>
      <c r="E45" s="24">
        <v>2738</v>
      </c>
      <c r="F45" s="24">
        <v>3025</v>
      </c>
      <c r="G45" s="24">
        <v>3300</v>
      </c>
      <c r="H45" s="23">
        <v>4150</v>
      </c>
      <c r="I45" s="23">
        <v>4883</v>
      </c>
      <c r="J45" s="24">
        <v>5313</v>
      </c>
      <c r="K45" s="24">
        <v>6625</v>
      </c>
      <c r="L45" s="24">
        <v>7388</v>
      </c>
      <c r="M45" s="19"/>
    </row>
    <row r="46" ht="14.1" customHeight="1" spans="1:13">
      <c r="A46" s="19"/>
      <c r="B46" s="19"/>
      <c r="C46" s="19"/>
      <c r="D46" s="19"/>
      <c r="E46" s="19"/>
      <c r="F46" s="19"/>
      <c r="G46" s="19"/>
      <c r="H46" s="21"/>
      <c r="I46" s="21"/>
      <c r="J46" s="19"/>
      <c r="K46" s="19"/>
      <c r="L46" s="19"/>
      <c r="M46" s="19"/>
    </row>
    <row r="47" ht="14.1" customHeight="1" spans="1:13">
      <c r="A47" s="22">
        <v>530</v>
      </c>
      <c r="B47" s="19"/>
      <c r="C47" s="19" t="s">
        <v>604</v>
      </c>
      <c r="D47" s="19" t="s">
        <v>39</v>
      </c>
      <c r="E47" s="24">
        <v>2944</v>
      </c>
      <c r="F47" s="24">
        <v>3219</v>
      </c>
      <c r="G47" s="24">
        <v>3500</v>
      </c>
      <c r="H47" s="23">
        <v>4063</v>
      </c>
      <c r="I47" s="23">
        <v>4794</v>
      </c>
      <c r="J47" s="24">
        <v>6013</v>
      </c>
      <c r="K47" s="24">
        <v>7158</v>
      </c>
      <c r="L47" s="24">
        <v>7950</v>
      </c>
      <c r="M47" s="19"/>
    </row>
    <row r="48" ht="14.1" customHeight="1" spans="1:13">
      <c r="A48" s="19"/>
      <c r="B48" s="19"/>
      <c r="C48" s="19"/>
      <c r="D48" s="19"/>
      <c r="E48" s="19"/>
      <c r="F48" s="19"/>
      <c r="G48" s="19"/>
      <c r="H48" s="21"/>
      <c r="I48" s="21"/>
      <c r="J48" s="19"/>
      <c r="K48" s="19"/>
      <c r="L48" s="19"/>
      <c r="M48" s="19"/>
    </row>
    <row r="49" ht="14.1" customHeight="1" spans="1:13">
      <c r="A49" s="22">
        <v>531</v>
      </c>
      <c r="B49" s="19"/>
      <c r="C49" s="19" t="s">
        <v>605</v>
      </c>
      <c r="D49" s="19" t="s">
        <v>39</v>
      </c>
      <c r="E49" s="24">
        <v>3131</v>
      </c>
      <c r="F49" s="24">
        <v>3413</v>
      </c>
      <c r="G49" s="24">
        <v>3688</v>
      </c>
      <c r="H49" s="23">
        <v>4331</v>
      </c>
      <c r="I49" s="23">
        <v>5169</v>
      </c>
      <c r="J49" s="24">
        <v>6619</v>
      </c>
      <c r="K49" s="24">
        <v>7988</v>
      </c>
      <c r="L49" s="24">
        <v>8272</v>
      </c>
      <c r="M49" s="19"/>
    </row>
    <row r="50" ht="14.1" customHeight="1" spans="1:13">
      <c r="A50" s="19"/>
      <c r="B50" s="19"/>
      <c r="C50" s="19"/>
      <c r="D50" s="19"/>
      <c r="E50" s="19"/>
      <c r="F50" s="19"/>
      <c r="G50" s="19"/>
      <c r="H50" s="21"/>
      <c r="I50" s="21"/>
      <c r="J50" s="19"/>
      <c r="K50" s="19"/>
      <c r="L50" s="19"/>
      <c r="M50" s="19"/>
    </row>
    <row r="51" ht="14.1" customHeight="1" spans="1:13">
      <c r="A51" s="22">
        <v>532</v>
      </c>
      <c r="B51" s="19"/>
      <c r="C51" s="19" t="s">
        <v>606</v>
      </c>
      <c r="D51" s="19" t="s">
        <v>39</v>
      </c>
      <c r="E51" s="19"/>
      <c r="F51" s="19"/>
      <c r="G51" s="19"/>
      <c r="H51" s="21"/>
      <c r="I51" s="21"/>
      <c r="J51" s="19"/>
      <c r="K51" s="19"/>
      <c r="L51" s="19"/>
      <c r="M51" s="24">
        <v>14125</v>
      </c>
    </row>
    <row r="52" ht="14.1" customHeight="1" spans="1:13">
      <c r="A52" s="19"/>
      <c r="B52" s="19"/>
      <c r="C52" s="19"/>
      <c r="D52" s="19"/>
      <c r="E52" s="19"/>
      <c r="F52" s="19"/>
      <c r="G52" s="19"/>
      <c r="H52" s="21"/>
      <c r="I52" s="21"/>
      <c r="J52" s="19"/>
      <c r="K52" s="19"/>
      <c r="L52" s="19"/>
      <c r="M52" s="19"/>
    </row>
    <row r="53" ht="14.1" customHeight="1" spans="1:13">
      <c r="A53" s="22">
        <v>533</v>
      </c>
      <c r="B53" s="19"/>
      <c r="C53" s="19" t="s">
        <v>607</v>
      </c>
      <c r="D53" s="19" t="s">
        <v>39</v>
      </c>
      <c r="E53" s="19"/>
      <c r="F53" s="19"/>
      <c r="G53" s="24">
        <v>5879</v>
      </c>
      <c r="H53" s="21"/>
      <c r="I53" s="21"/>
      <c r="J53" s="19"/>
      <c r="K53" s="19"/>
      <c r="L53" s="19"/>
      <c r="M53" s="19"/>
    </row>
    <row r="54" ht="14.1" customHeight="1" spans="1:13">
      <c r="A54" s="19"/>
      <c r="B54" s="19"/>
      <c r="C54" s="19"/>
      <c r="D54" s="19"/>
      <c r="E54" s="19"/>
      <c r="F54" s="19"/>
      <c r="G54" s="19"/>
      <c r="H54" s="21"/>
      <c r="I54" s="21"/>
      <c r="J54" s="19"/>
      <c r="K54" s="19"/>
      <c r="L54" s="19"/>
      <c r="M54" s="19"/>
    </row>
    <row r="55" ht="14.1" customHeight="1" spans="1:13">
      <c r="A55" s="22">
        <v>534</v>
      </c>
      <c r="B55" s="19"/>
      <c r="C55" s="19" t="s">
        <v>608</v>
      </c>
      <c r="D55" s="19" t="s">
        <v>39</v>
      </c>
      <c r="E55" s="24">
        <v>3163</v>
      </c>
      <c r="F55" s="24">
        <v>3717</v>
      </c>
      <c r="G55" s="24">
        <v>5933</v>
      </c>
      <c r="H55" s="23">
        <v>6663</v>
      </c>
      <c r="I55" s="23">
        <v>8900</v>
      </c>
      <c r="J55" s="24">
        <v>10900</v>
      </c>
      <c r="K55" s="24">
        <v>13297</v>
      </c>
      <c r="L55" s="24">
        <v>16278</v>
      </c>
      <c r="M55" s="24">
        <v>18720</v>
      </c>
    </row>
    <row r="56" ht="14.1" customHeight="1" spans="1:13">
      <c r="A56" s="19"/>
      <c r="B56" s="19"/>
      <c r="C56" s="19"/>
      <c r="D56" s="19"/>
      <c r="E56" s="19"/>
      <c r="F56" s="19"/>
      <c r="G56" s="19"/>
      <c r="H56" s="21"/>
      <c r="I56" s="21"/>
      <c r="J56" s="19"/>
      <c r="K56" s="19"/>
      <c r="L56" s="19"/>
      <c r="M56" s="19"/>
    </row>
    <row r="57" ht="14.1" customHeight="1" spans="1:13">
      <c r="A57" s="22">
        <v>535</v>
      </c>
      <c r="B57" s="19"/>
      <c r="C57" s="19" t="s">
        <v>609</v>
      </c>
      <c r="D57" s="19" t="s">
        <v>39</v>
      </c>
      <c r="E57" s="24">
        <v>3235</v>
      </c>
      <c r="F57" s="24">
        <v>3795</v>
      </c>
      <c r="G57" s="24">
        <v>5575</v>
      </c>
      <c r="H57" s="23">
        <v>6529</v>
      </c>
      <c r="I57" s="23">
        <v>8794</v>
      </c>
      <c r="J57" s="24">
        <v>10794</v>
      </c>
      <c r="K57" s="24">
        <v>13194</v>
      </c>
      <c r="L57" s="24">
        <v>16150</v>
      </c>
      <c r="M57" s="24">
        <v>18573</v>
      </c>
    </row>
    <row r="58" ht="14.1" customHeight="1" spans="1:13">
      <c r="A58" s="19"/>
      <c r="B58" s="19"/>
      <c r="C58" s="19"/>
      <c r="D58" s="19"/>
      <c r="E58" s="19"/>
      <c r="F58" s="19"/>
      <c r="G58" s="19"/>
      <c r="H58" s="21"/>
      <c r="I58" s="21"/>
      <c r="J58" s="19"/>
      <c r="K58" s="19"/>
      <c r="L58" s="19"/>
      <c r="M58" s="19"/>
    </row>
    <row r="59" ht="14.1" customHeight="1" spans="1:13">
      <c r="A59" s="22">
        <v>536</v>
      </c>
      <c r="B59" s="19"/>
      <c r="C59" s="19" t="s">
        <v>610</v>
      </c>
      <c r="D59" s="19" t="s">
        <v>39</v>
      </c>
      <c r="E59" s="19"/>
      <c r="F59" s="19"/>
      <c r="G59" s="19"/>
      <c r="H59" s="21"/>
      <c r="I59" s="23">
        <v>6025</v>
      </c>
      <c r="J59" s="24">
        <v>7191</v>
      </c>
      <c r="K59" s="24">
        <v>8838</v>
      </c>
      <c r="L59" s="24">
        <v>10297</v>
      </c>
      <c r="M59" s="19"/>
    </row>
    <row r="60" ht="14.1" customHeight="1" spans="1:13">
      <c r="A60" s="19"/>
      <c r="B60" s="19"/>
      <c r="C60" s="19"/>
      <c r="D60" s="19"/>
      <c r="E60" s="19"/>
      <c r="F60" s="19"/>
      <c r="G60" s="19"/>
      <c r="H60" s="21"/>
      <c r="I60" s="21"/>
      <c r="J60" s="19"/>
      <c r="K60" s="19"/>
      <c r="L60" s="19"/>
      <c r="M60" s="19"/>
    </row>
    <row r="61" ht="14.1" customHeight="1" spans="1:13">
      <c r="A61" s="22">
        <v>537</v>
      </c>
      <c r="B61" s="19"/>
      <c r="C61" s="19" t="s">
        <v>611</v>
      </c>
      <c r="D61" s="19" t="s">
        <v>39</v>
      </c>
      <c r="E61" s="19"/>
      <c r="F61" s="19"/>
      <c r="G61" s="19"/>
      <c r="H61" s="21"/>
      <c r="I61" s="23">
        <v>5921</v>
      </c>
      <c r="J61" s="24">
        <v>6896</v>
      </c>
      <c r="K61" s="24">
        <v>8119</v>
      </c>
      <c r="L61" s="24">
        <v>9413</v>
      </c>
      <c r="M61" s="19"/>
    </row>
    <row r="62" ht="14.1" customHeight="1" spans="1:13">
      <c r="A62" s="19"/>
      <c r="B62" s="19"/>
      <c r="C62" s="19"/>
      <c r="D62" s="19"/>
      <c r="E62" s="19"/>
      <c r="F62" s="19"/>
      <c r="G62" s="19"/>
      <c r="H62" s="21"/>
      <c r="I62" s="21"/>
      <c r="J62" s="19"/>
      <c r="K62" s="19"/>
      <c r="L62" s="19"/>
      <c r="M62" s="19"/>
    </row>
    <row r="63" ht="14.1" customHeight="1" spans="1:13">
      <c r="A63" s="22">
        <v>538</v>
      </c>
      <c r="B63" s="19"/>
      <c r="C63" s="19" t="s">
        <v>612</v>
      </c>
      <c r="D63" s="19" t="s">
        <v>39</v>
      </c>
      <c r="E63" s="19"/>
      <c r="F63" s="19"/>
      <c r="G63" s="19"/>
      <c r="H63" s="21"/>
      <c r="I63" s="21"/>
      <c r="J63" s="19"/>
      <c r="K63" s="19"/>
      <c r="L63" s="19"/>
      <c r="M63" s="24">
        <v>17217</v>
      </c>
    </row>
    <row r="64" ht="14.1" customHeight="1" spans="1:13">
      <c r="A64" s="19"/>
      <c r="B64" s="19"/>
      <c r="C64" s="19"/>
      <c r="D64" s="19"/>
      <c r="E64" s="19"/>
      <c r="F64" s="19"/>
      <c r="G64" s="19"/>
      <c r="H64" s="21"/>
      <c r="I64" s="21"/>
      <c r="J64" s="19"/>
      <c r="K64" s="19"/>
      <c r="L64" s="19"/>
      <c r="M64" s="19"/>
    </row>
    <row r="65" ht="14.1" customHeight="1" spans="1:13">
      <c r="A65" s="22">
        <v>539</v>
      </c>
      <c r="B65" s="19"/>
      <c r="C65" s="19" t="s">
        <v>613</v>
      </c>
      <c r="D65" s="19" t="s">
        <v>39</v>
      </c>
      <c r="E65" s="19"/>
      <c r="F65" s="19"/>
      <c r="G65" s="19"/>
      <c r="H65" s="21"/>
      <c r="I65" s="21"/>
      <c r="J65" s="19"/>
      <c r="K65" s="19"/>
      <c r="L65" s="24">
        <v>6894</v>
      </c>
      <c r="M65" s="19"/>
    </row>
    <row r="66" ht="14.1" customHeight="1" spans="1:13">
      <c r="A66" s="19"/>
      <c r="B66" s="19"/>
      <c r="C66" s="19"/>
      <c r="D66" s="19"/>
      <c r="E66" s="19"/>
      <c r="F66" s="19"/>
      <c r="G66" s="19"/>
      <c r="H66" s="21"/>
      <c r="I66" s="21"/>
      <c r="J66" s="19"/>
      <c r="K66" s="19"/>
      <c r="L66" s="19"/>
      <c r="M66" s="19"/>
    </row>
    <row r="67" ht="14.1" customHeight="1" spans="1:13">
      <c r="A67" s="22">
        <v>540</v>
      </c>
      <c r="B67" s="19"/>
      <c r="C67" s="19" t="s">
        <v>614</v>
      </c>
      <c r="D67" s="19" t="s">
        <v>39</v>
      </c>
      <c r="E67" s="24">
        <v>1896</v>
      </c>
      <c r="F67" s="24">
        <v>2094</v>
      </c>
      <c r="G67" s="24">
        <v>2500</v>
      </c>
      <c r="H67" s="23">
        <v>2925</v>
      </c>
      <c r="I67" s="23">
        <v>3633</v>
      </c>
      <c r="J67" s="24">
        <v>3975</v>
      </c>
      <c r="K67" s="24">
        <v>4242</v>
      </c>
      <c r="L67" s="24">
        <v>5125</v>
      </c>
      <c r="M67" s="19"/>
    </row>
    <row r="68" ht="14.1" customHeight="1" spans="1:13">
      <c r="A68" s="19"/>
      <c r="B68" s="19"/>
      <c r="C68" s="19"/>
      <c r="D68" s="19"/>
      <c r="E68" s="19"/>
      <c r="F68" s="19"/>
      <c r="G68" s="19"/>
      <c r="H68" s="21"/>
      <c r="I68" s="21"/>
      <c r="J68" s="19"/>
      <c r="K68" s="19"/>
      <c r="L68" s="19"/>
      <c r="M68" s="19"/>
    </row>
    <row r="69" ht="14.1" customHeight="1" spans="1:13">
      <c r="A69" s="19"/>
      <c r="B69" s="19"/>
      <c r="C69" s="20" t="s">
        <v>193</v>
      </c>
      <c r="D69" s="19"/>
      <c r="E69" s="19"/>
      <c r="F69" s="19"/>
      <c r="G69" s="19"/>
      <c r="H69" s="21"/>
      <c r="I69" s="21"/>
      <c r="J69" s="19"/>
      <c r="K69" s="19"/>
      <c r="L69" s="19"/>
      <c r="M69" s="19"/>
    </row>
    <row r="70" ht="14.1" customHeight="1" spans="1:13">
      <c r="A70" s="22">
        <v>541</v>
      </c>
      <c r="B70" s="19"/>
      <c r="C70" s="19" t="s">
        <v>615</v>
      </c>
      <c r="D70" s="19" t="s">
        <v>39</v>
      </c>
      <c r="E70" s="19"/>
      <c r="F70" s="19"/>
      <c r="G70" s="19"/>
      <c r="H70" s="21"/>
      <c r="I70" s="21"/>
      <c r="J70" s="19"/>
      <c r="K70" s="24">
        <v>7563</v>
      </c>
      <c r="L70" s="24">
        <v>9245</v>
      </c>
      <c r="M70" s="19"/>
    </row>
    <row r="71" ht="14.1" customHeight="1" spans="1:13">
      <c r="A71" s="19"/>
      <c r="B71" s="19"/>
      <c r="C71" s="19"/>
      <c r="D71" s="19"/>
      <c r="E71" s="19"/>
      <c r="F71" s="19"/>
      <c r="G71" s="19"/>
      <c r="H71" s="21"/>
      <c r="I71" s="21"/>
      <c r="J71" s="19"/>
      <c r="K71" s="19"/>
      <c r="L71" s="19"/>
      <c r="M71" s="19"/>
    </row>
    <row r="72" ht="14.1" customHeight="1" spans="1:13">
      <c r="A72" s="22">
        <v>542</v>
      </c>
      <c r="B72" s="19"/>
      <c r="C72" s="19" t="s">
        <v>616</v>
      </c>
      <c r="D72" s="19" t="s">
        <v>39</v>
      </c>
      <c r="E72" s="24">
        <v>2250</v>
      </c>
      <c r="F72" s="24">
        <v>2525</v>
      </c>
      <c r="G72" s="24">
        <v>3067</v>
      </c>
      <c r="H72" s="23">
        <v>3619</v>
      </c>
      <c r="I72" s="23">
        <v>4230</v>
      </c>
      <c r="J72" s="24">
        <v>4613</v>
      </c>
      <c r="K72" s="24">
        <v>6171</v>
      </c>
      <c r="L72" s="24">
        <v>7413</v>
      </c>
      <c r="M72" s="24">
        <v>8525</v>
      </c>
    </row>
    <row r="73" ht="14.1" customHeight="1" spans="1:13">
      <c r="A73" s="19"/>
      <c r="B73" s="19"/>
      <c r="C73" s="19"/>
      <c r="D73" s="19"/>
      <c r="E73" s="19"/>
      <c r="F73" s="19"/>
      <c r="G73" s="19"/>
      <c r="H73" s="21"/>
      <c r="I73" s="21"/>
      <c r="J73" s="19"/>
      <c r="K73" s="19"/>
      <c r="L73" s="19"/>
      <c r="M73" s="19"/>
    </row>
    <row r="74" ht="14.1" customHeight="1" spans="1:13">
      <c r="A74" s="22">
        <v>543</v>
      </c>
      <c r="B74" s="19"/>
      <c r="C74" s="19" t="s">
        <v>617</v>
      </c>
      <c r="D74" s="19" t="s">
        <v>39</v>
      </c>
      <c r="E74" s="24">
        <v>1879</v>
      </c>
      <c r="F74" s="24">
        <v>2158</v>
      </c>
      <c r="G74" s="24">
        <v>2300</v>
      </c>
      <c r="H74" s="23">
        <v>2838</v>
      </c>
      <c r="I74" s="23">
        <v>3200</v>
      </c>
      <c r="J74" s="24">
        <v>3950</v>
      </c>
      <c r="K74" s="19"/>
      <c r="L74" s="19"/>
      <c r="M74" s="19"/>
    </row>
    <row r="75" ht="14.1" customHeight="1" spans="1:13">
      <c r="A75" s="19"/>
      <c r="B75" s="19"/>
      <c r="C75" s="19"/>
      <c r="D75" s="19"/>
      <c r="E75" s="19"/>
      <c r="F75" s="19"/>
      <c r="G75" s="19"/>
      <c r="H75" s="21"/>
      <c r="I75" s="21"/>
      <c r="J75" s="19"/>
      <c r="K75" s="19"/>
      <c r="L75" s="19"/>
      <c r="M75" s="19"/>
    </row>
    <row r="76" ht="14.1" customHeight="1" spans="1:13">
      <c r="A76" s="19"/>
      <c r="B76" s="19"/>
      <c r="C76" s="20" t="s">
        <v>204</v>
      </c>
      <c r="D76" s="19"/>
      <c r="E76" s="19"/>
      <c r="F76" s="19"/>
      <c r="G76" s="19"/>
      <c r="H76" s="21"/>
      <c r="I76" s="21"/>
      <c r="J76" s="19"/>
      <c r="K76" s="19"/>
      <c r="L76" s="19"/>
      <c r="M76" s="19"/>
    </row>
    <row r="77" ht="14.1" customHeight="1" spans="1:13">
      <c r="A77" s="22">
        <v>544</v>
      </c>
      <c r="B77" s="19"/>
      <c r="C77" s="19" t="s">
        <v>618</v>
      </c>
      <c r="D77" s="19" t="s">
        <v>39</v>
      </c>
      <c r="E77" s="24">
        <v>2050</v>
      </c>
      <c r="F77" s="24">
        <v>2236</v>
      </c>
      <c r="G77" s="24">
        <v>2492</v>
      </c>
      <c r="H77" s="23">
        <v>3171</v>
      </c>
      <c r="I77" s="23">
        <v>3892</v>
      </c>
      <c r="J77" s="24">
        <v>4235</v>
      </c>
      <c r="K77" s="24">
        <v>5128</v>
      </c>
      <c r="L77" s="24">
        <v>6050</v>
      </c>
      <c r="M77" s="19"/>
    </row>
    <row r="78" ht="14.1" customHeight="1" spans="1:13">
      <c r="A78" s="19"/>
      <c r="B78" s="19"/>
      <c r="C78" s="19"/>
      <c r="D78" s="19"/>
      <c r="E78" s="19"/>
      <c r="F78" s="19"/>
      <c r="G78" s="19"/>
      <c r="H78" s="21"/>
      <c r="I78" s="21"/>
      <c r="J78" s="19"/>
      <c r="K78" s="19"/>
      <c r="L78" s="19"/>
      <c r="M78" s="19"/>
    </row>
    <row r="79" ht="14.1" customHeight="1" spans="1:13">
      <c r="A79" s="22">
        <v>545</v>
      </c>
      <c r="B79" s="19"/>
      <c r="C79" s="19" t="s">
        <v>619</v>
      </c>
      <c r="D79" s="19" t="s">
        <v>39</v>
      </c>
      <c r="E79" s="19"/>
      <c r="F79" s="24">
        <v>2838</v>
      </c>
      <c r="G79" s="24">
        <v>3321</v>
      </c>
      <c r="H79" s="23">
        <v>3896</v>
      </c>
      <c r="I79" s="23">
        <v>4794</v>
      </c>
      <c r="J79" s="24">
        <v>5797</v>
      </c>
      <c r="K79" s="24">
        <v>8873</v>
      </c>
      <c r="L79" s="24">
        <v>10560</v>
      </c>
      <c r="M79" s="24">
        <v>12144</v>
      </c>
    </row>
    <row r="80" ht="14.1" customHeight="1" spans="1:13">
      <c r="A80" s="19"/>
      <c r="B80" s="19"/>
      <c r="C80" s="19"/>
      <c r="D80" s="19"/>
      <c r="E80" s="19"/>
      <c r="F80" s="19"/>
      <c r="G80" s="19"/>
      <c r="H80" s="21"/>
      <c r="I80" s="21"/>
      <c r="J80" s="19"/>
      <c r="K80" s="19"/>
      <c r="L80" s="19"/>
      <c r="M80" s="19"/>
    </row>
    <row r="81" ht="14.1" customHeight="1" spans="1:13">
      <c r="A81" s="22">
        <v>546</v>
      </c>
      <c r="B81" s="19"/>
      <c r="C81" s="19" t="s">
        <v>620</v>
      </c>
      <c r="D81" s="19" t="s">
        <v>39</v>
      </c>
      <c r="E81" s="19"/>
      <c r="F81" s="19"/>
      <c r="G81" s="19"/>
      <c r="H81" s="21"/>
      <c r="I81" s="21"/>
      <c r="J81" s="19"/>
      <c r="K81" s="19"/>
      <c r="L81" s="19"/>
      <c r="M81" s="24">
        <v>12406</v>
      </c>
    </row>
    <row r="82" ht="14.1" customHeight="1" spans="1:13">
      <c r="A82" s="19"/>
      <c r="B82" s="19"/>
      <c r="C82" s="19"/>
      <c r="D82" s="19"/>
      <c r="E82" s="19"/>
      <c r="F82" s="19"/>
      <c r="G82" s="19"/>
      <c r="H82" s="21"/>
      <c r="I82" s="21"/>
      <c r="J82" s="19"/>
      <c r="K82" s="19"/>
      <c r="L82" s="19"/>
      <c r="M82" s="19"/>
    </row>
    <row r="83" ht="14.1" customHeight="1" spans="1:13">
      <c r="A83" s="22">
        <v>547</v>
      </c>
      <c r="B83" s="19"/>
      <c r="C83" s="19" t="s">
        <v>621</v>
      </c>
      <c r="D83" s="19" t="s">
        <v>39</v>
      </c>
      <c r="E83" s="19"/>
      <c r="F83" s="19"/>
      <c r="G83" s="19"/>
      <c r="H83" s="21"/>
      <c r="I83" s="21"/>
      <c r="J83" s="19"/>
      <c r="K83" s="19"/>
      <c r="L83" s="19"/>
      <c r="M83" s="24">
        <v>14300</v>
      </c>
    </row>
    <row r="84" ht="14.1" customHeight="1" spans="1:13">
      <c r="A84" s="19"/>
      <c r="B84" s="19"/>
      <c r="C84" s="19"/>
      <c r="D84" s="19"/>
      <c r="E84" s="19"/>
      <c r="F84" s="19"/>
      <c r="G84" s="19"/>
      <c r="H84" s="21"/>
      <c r="I84" s="21"/>
      <c r="J84" s="19"/>
      <c r="K84" s="19"/>
      <c r="L84" s="19"/>
      <c r="M84" s="19"/>
    </row>
    <row r="85" ht="14.1" customHeight="1" spans="1:13">
      <c r="A85" s="22">
        <v>548</v>
      </c>
      <c r="B85" s="19"/>
      <c r="C85" s="19" t="s">
        <v>622</v>
      </c>
      <c r="D85" s="19" t="s">
        <v>39</v>
      </c>
      <c r="E85" s="19"/>
      <c r="F85" s="19"/>
      <c r="G85" s="19"/>
      <c r="H85" s="21"/>
      <c r="I85" s="21"/>
      <c r="J85" s="19"/>
      <c r="K85" s="19"/>
      <c r="L85" s="19"/>
      <c r="M85" s="24">
        <v>14158</v>
      </c>
    </row>
    <row r="86" ht="14.1" customHeight="1" spans="1:13">
      <c r="A86" s="19"/>
      <c r="B86" s="19"/>
      <c r="C86" s="19"/>
      <c r="D86" s="19"/>
      <c r="E86" s="19"/>
      <c r="F86" s="19"/>
      <c r="G86" s="19"/>
      <c r="H86" s="21"/>
      <c r="I86" s="21"/>
      <c r="J86" s="19"/>
      <c r="K86" s="19"/>
      <c r="L86" s="19"/>
      <c r="M86" s="19"/>
    </row>
    <row r="87" ht="14.1" customHeight="1" spans="1:13">
      <c r="A87" s="22">
        <v>549</v>
      </c>
      <c r="B87" s="19"/>
      <c r="C87" s="19" t="s">
        <v>623</v>
      </c>
      <c r="D87" s="19" t="s">
        <v>39</v>
      </c>
      <c r="E87" s="24">
        <v>1719</v>
      </c>
      <c r="F87" s="24">
        <v>1988</v>
      </c>
      <c r="G87" s="24">
        <v>2475</v>
      </c>
      <c r="H87" s="23">
        <v>2794</v>
      </c>
      <c r="I87" s="23">
        <v>3288</v>
      </c>
      <c r="J87" s="24">
        <v>3800</v>
      </c>
      <c r="K87" s="19"/>
      <c r="L87" s="19"/>
      <c r="M87" s="19"/>
    </row>
    <row r="88" ht="14.1" customHeight="1" spans="1:13">
      <c r="A88" s="19"/>
      <c r="B88" s="19"/>
      <c r="C88" s="19"/>
      <c r="D88" s="19"/>
      <c r="E88" s="19"/>
      <c r="F88" s="19"/>
      <c r="G88" s="19"/>
      <c r="H88" s="21"/>
      <c r="I88" s="21"/>
      <c r="J88" s="19"/>
      <c r="K88" s="19"/>
      <c r="L88" s="19"/>
      <c r="M88" s="19"/>
    </row>
    <row r="89" ht="14.1" customHeight="1" spans="1:13">
      <c r="A89" s="22">
        <v>550</v>
      </c>
      <c r="B89" s="19"/>
      <c r="C89" s="19" t="s">
        <v>624</v>
      </c>
      <c r="D89" s="19" t="s">
        <v>39</v>
      </c>
      <c r="E89" s="24">
        <v>1892</v>
      </c>
      <c r="F89" s="24">
        <v>2158</v>
      </c>
      <c r="G89" s="24">
        <v>2642</v>
      </c>
      <c r="H89" s="23">
        <v>2992</v>
      </c>
      <c r="I89" s="23">
        <v>3558</v>
      </c>
      <c r="J89" s="24">
        <v>4038</v>
      </c>
      <c r="K89" s="19"/>
      <c r="L89" s="19"/>
      <c r="M89" s="19"/>
    </row>
    <row r="90" ht="14.1" customHeight="1" spans="1:13">
      <c r="A90" s="19"/>
      <c r="B90" s="19"/>
      <c r="C90" s="19"/>
      <c r="D90" s="19"/>
      <c r="E90" s="19"/>
      <c r="F90" s="19"/>
      <c r="G90" s="19"/>
      <c r="H90" s="21"/>
      <c r="I90" s="21"/>
      <c r="J90" s="19"/>
      <c r="K90" s="19"/>
      <c r="L90" s="19"/>
      <c r="M90" s="19"/>
    </row>
    <row r="91" ht="14.1" customHeight="1" spans="1:13">
      <c r="A91" s="22">
        <v>551</v>
      </c>
      <c r="B91" s="19"/>
      <c r="C91" s="19" t="s">
        <v>625</v>
      </c>
      <c r="D91" s="19" t="s">
        <v>39</v>
      </c>
      <c r="E91" s="24">
        <v>2142</v>
      </c>
      <c r="F91" s="24">
        <v>2417</v>
      </c>
      <c r="G91" s="24">
        <v>2900</v>
      </c>
      <c r="H91" s="23">
        <v>3308</v>
      </c>
      <c r="I91" s="23">
        <v>4025</v>
      </c>
      <c r="J91" s="24">
        <v>4425</v>
      </c>
      <c r="K91" s="19"/>
      <c r="L91" s="19"/>
      <c r="M91" s="19"/>
    </row>
    <row r="92" ht="14.1" customHeight="1" spans="1:13">
      <c r="A92" s="19"/>
      <c r="B92" s="19"/>
      <c r="C92" s="19"/>
      <c r="D92" s="19"/>
      <c r="E92" s="19"/>
      <c r="F92" s="19"/>
      <c r="G92" s="19"/>
      <c r="H92" s="21"/>
      <c r="I92" s="21"/>
      <c r="J92" s="19"/>
      <c r="K92" s="19"/>
      <c r="L92" s="19"/>
      <c r="M92" s="19"/>
    </row>
    <row r="93" ht="14.1" customHeight="1" spans="1:13">
      <c r="A93" s="19"/>
      <c r="B93" s="19"/>
      <c r="C93" s="20" t="s">
        <v>217</v>
      </c>
      <c r="D93" s="19"/>
      <c r="E93" s="19"/>
      <c r="F93" s="19"/>
      <c r="G93" s="19"/>
      <c r="H93" s="21"/>
      <c r="I93" s="21"/>
      <c r="J93" s="19"/>
      <c r="K93" s="19"/>
      <c r="L93" s="19"/>
      <c r="M93" s="19"/>
    </row>
    <row r="94" ht="14.1" customHeight="1" spans="1:13">
      <c r="A94" s="22">
        <v>552</v>
      </c>
      <c r="B94" s="19"/>
      <c r="C94" s="19" t="s">
        <v>626</v>
      </c>
      <c r="D94" s="19" t="s">
        <v>39</v>
      </c>
      <c r="E94" s="24">
        <v>2513</v>
      </c>
      <c r="F94" s="19"/>
      <c r="G94" s="19"/>
      <c r="H94" s="21"/>
      <c r="I94" s="21"/>
      <c r="J94" s="19"/>
      <c r="K94" s="19"/>
      <c r="L94" s="19"/>
      <c r="M94" s="19"/>
    </row>
    <row r="95" ht="14.1" customHeight="1" spans="1:13">
      <c r="A95" s="19"/>
      <c r="B95" s="19"/>
      <c r="C95" s="19"/>
      <c r="D95" s="19"/>
      <c r="E95" s="19"/>
      <c r="F95" s="19"/>
      <c r="G95" s="19"/>
      <c r="H95" s="21"/>
      <c r="I95" s="21"/>
      <c r="J95" s="19"/>
      <c r="K95" s="19"/>
      <c r="L95" s="19"/>
      <c r="M95" s="19"/>
    </row>
    <row r="96" ht="14.1" customHeight="1" spans="1:13">
      <c r="A96" s="22">
        <v>553</v>
      </c>
      <c r="B96" s="19"/>
      <c r="C96" s="19" t="s">
        <v>627</v>
      </c>
      <c r="D96" s="19" t="s">
        <v>39</v>
      </c>
      <c r="E96" s="24">
        <v>2513</v>
      </c>
      <c r="F96" s="19"/>
      <c r="G96" s="19"/>
      <c r="H96" s="21"/>
      <c r="I96" s="21"/>
      <c r="J96" s="19"/>
      <c r="K96" s="19"/>
      <c r="L96" s="19"/>
      <c r="M96" s="19"/>
    </row>
    <row r="97" ht="14.1" customHeight="1" spans="1:13">
      <c r="A97" s="19"/>
      <c r="B97" s="19"/>
      <c r="C97" s="19"/>
      <c r="D97" s="19"/>
      <c r="E97" s="19"/>
      <c r="F97" s="19"/>
      <c r="G97" s="19"/>
      <c r="H97" s="21"/>
      <c r="I97" s="21"/>
      <c r="J97" s="19"/>
      <c r="K97" s="19"/>
      <c r="L97" s="19"/>
      <c r="M97" s="19"/>
    </row>
    <row r="98" ht="14.1" customHeight="1" spans="1:13">
      <c r="A98" s="22">
        <v>554</v>
      </c>
      <c r="B98" s="19"/>
      <c r="C98" s="19" t="s">
        <v>628</v>
      </c>
      <c r="D98" s="19" t="s">
        <v>39</v>
      </c>
      <c r="E98" s="24">
        <v>2888</v>
      </c>
      <c r="F98" s="19"/>
      <c r="G98" s="19"/>
      <c r="H98" s="21"/>
      <c r="I98" s="21"/>
      <c r="J98" s="19"/>
      <c r="K98" s="19"/>
      <c r="L98" s="19"/>
      <c r="M98" s="19"/>
    </row>
    <row r="99" ht="14.1" customHeight="1" spans="1:13">
      <c r="A99" s="19"/>
      <c r="B99" s="19"/>
      <c r="C99" s="19"/>
      <c r="D99" s="19"/>
      <c r="E99" s="19"/>
      <c r="F99" s="19"/>
      <c r="G99" s="19"/>
      <c r="H99" s="21"/>
      <c r="I99" s="21"/>
      <c r="J99" s="19"/>
      <c r="K99" s="19"/>
      <c r="L99" s="19"/>
      <c r="M99" s="19"/>
    </row>
    <row r="100" ht="14.1" customHeight="1" spans="1:13">
      <c r="A100" s="22">
        <v>555</v>
      </c>
      <c r="B100" s="19"/>
      <c r="C100" s="19" t="s">
        <v>629</v>
      </c>
      <c r="D100" s="19" t="s">
        <v>39</v>
      </c>
      <c r="E100" s="19"/>
      <c r="F100" s="19"/>
      <c r="G100" s="19"/>
      <c r="H100" s="21"/>
      <c r="I100" s="21"/>
      <c r="J100" s="19"/>
      <c r="K100" s="19"/>
      <c r="L100" s="19"/>
      <c r="M100" s="24">
        <v>14181</v>
      </c>
    </row>
    <row r="101" ht="14.1" customHeight="1" spans="1:13">
      <c r="A101" s="19"/>
      <c r="B101" s="19"/>
      <c r="C101" s="19"/>
      <c r="D101" s="19"/>
      <c r="E101" s="19"/>
      <c r="F101" s="19"/>
      <c r="G101" s="19"/>
      <c r="H101" s="21"/>
      <c r="I101" s="21"/>
      <c r="J101" s="19"/>
      <c r="K101" s="19"/>
      <c r="L101" s="19"/>
      <c r="M101" s="19"/>
    </row>
    <row r="102" ht="14.1" customHeight="1" spans="1:13">
      <c r="A102" s="22">
        <v>556</v>
      </c>
      <c r="B102" s="19"/>
      <c r="C102" s="19" t="s">
        <v>630</v>
      </c>
      <c r="D102" s="19" t="s">
        <v>39</v>
      </c>
      <c r="E102" s="19"/>
      <c r="F102" s="19"/>
      <c r="G102" s="19"/>
      <c r="H102" s="21"/>
      <c r="I102" s="21"/>
      <c r="J102" s="19"/>
      <c r="K102" s="19"/>
      <c r="L102" s="19"/>
      <c r="M102" s="24">
        <v>14213</v>
      </c>
    </row>
    <row r="103" ht="14.1" customHeight="1" spans="1:13">
      <c r="A103" s="19"/>
      <c r="B103" s="19"/>
      <c r="C103" s="19"/>
      <c r="D103" s="19"/>
      <c r="E103" s="19"/>
      <c r="F103" s="19"/>
      <c r="G103" s="19"/>
      <c r="H103" s="21"/>
      <c r="I103" s="21"/>
      <c r="J103" s="19"/>
      <c r="K103" s="19"/>
      <c r="L103" s="19"/>
      <c r="M103" s="19"/>
    </row>
    <row r="104" ht="14.1" customHeight="1" spans="1:13">
      <c r="A104" s="22">
        <v>557</v>
      </c>
      <c r="B104" s="19"/>
      <c r="C104" s="19" t="s">
        <v>631</v>
      </c>
      <c r="D104" s="19" t="s">
        <v>39</v>
      </c>
      <c r="E104" s="19"/>
      <c r="F104" s="19"/>
      <c r="G104" s="19"/>
      <c r="H104" s="21"/>
      <c r="I104" s="21"/>
      <c r="J104" s="19"/>
      <c r="K104" s="19"/>
      <c r="L104" s="19"/>
      <c r="M104" s="24">
        <v>15175</v>
      </c>
    </row>
    <row r="105" ht="14.1" customHeight="1" spans="1:13">
      <c r="A105" s="19"/>
      <c r="B105" s="19"/>
      <c r="C105" s="19"/>
      <c r="D105" s="19"/>
      <c r="E105" s="19"/>
      <c r="F105" s="19"/>
      <c r="G105" s="19"/>
      <c r="H105" s="21"/>
      <c r="I105" s="21"/>
      <c r="J105" s="19"/>
      <c r="K105" s="19"/>
      <c r="L105" s="19"/>
      <c r="M105" s="19"/>
    </row>
    <row r="106" ht="14.1" customHeight="1" spans="1:13">
      <c r="A106" s="22">
        <v>558</v>
      </c>
      <c r="B106" s="19"/>
      <c r="C106" s="19" t="s">
        <v>632</v>
      </c>
      <c r="D106" s="19" t="s">
        <v>39</v>
      </c>
      <c r="E106" s="19"/>
      <c r="F106" s="24">
        <v>2825</v>
      </c>
      <c r="G106" s="24">
        <v>3163</v>
      </c>
      <c r="H106" s="23">
        <v>4000</v>
      </c>
      <c r="I106" s="23">
        <v>4925</v>
      </c>
      <c r="J106" s="24">
        <v>5263</v>
      </c>
      <c r="K106" s="24">
        <v>6088</v>
      </c>
      <c r="L106" s="24">
        <v>6963</v>
      </c>
      <c r="M106" s="19"/>
    </row>
    <row r="107" ht="14.1" customHeight="1" spans="1:13">
      <c r="A107" s="19"/>
      <c r="B107" s="19"/>
      <c r="C107" s="19"/>
      <c r="D107" s="19"/>
      <c r="E107" s="19"/>
      <c r="F107" s="19"/>
      <c r="G107" s="19"/>
      <c r="H107" s="21"/>
      <c r="I107" s="21"/>
      <c r="J107" s="19"/>
      <c r="K107" s="19"/>
      <c r="L107" s="19"/>
      <c r="M107" s="19"/>
    </row>
    <row r="108" ht="14.1" customHeight="1" spans="1:13">
      <c r="A108" s="22">
        <v>559</v>
      </c>
      <c r="B108" s="19"/>
      <c r="C108" s="19" t="s">
        <v>633</v>
      </c>
      <c r="D108" s="19" t="s">
        <v>39</v>
      </c>
      <c r="E108" s="19"/>
      <c r="F108" s="24">
        <v>2850</v>
      </c>
      <c r="G108" s="24">
        <v>3213</v>
      </c>
      <c r="H108" s="23">
        <v>3775</v>
      </c>
      <c r="I108" s="21"/>
      <c r="J108" s="24">
        <v>5525</v>
      </c>
      <c r="K108" s="24">
        <v>6500</v>
      </c>
      <c r="L108" s="24">
        <v>7575</v>
      </c>
      <c r="M108" s="19"/>
    </row>
    <row r="109" ht="14.1" customHeight="1" spans="1:13">
      <c r="A109" s="19"/>
      <c r="B109" s="19"/>
      <c r="C109" s="19"/>
      <c r="D109" s="19"/>
      <c r="E109" s="19"/>
      <c r="F109" s="19"/>
      <c r="G109" s="19"/>
      <c r="H109" s="21"/>
      <c r="I109" s="21"/>
      <c r="J109" s="19"/>
      <c r="K109" s="19"/>
      <c r="L109" s="19"/>
      <c r="M109" s="19"/>
    </row>
    <row r="110" ht="14.1" customHeight="1" spans="1:13">
      <c r="A110" s="22">
        <v>560</v>
      </c>
      <c r="B110" s="19"/>
      <c r="C110" s="19" t="s">
        <v>634</v>
      </c>
      <c r="D110" s="19" t="s">
        <v>39</v>
      </c>
      <c r="E110" s="19"/>
      <c r="F110" s="24">
        <v>3200</v>
      </c>
      <c r="G110" s="24">
        <v>3556</v>
      </c>
      <c r="H110" s="23">
        <v>4100</v>
      </c>
      <c r="I110" s="21"/>
      <c r="J110" s="24">
        <v>6119</v>
      </c>
      <c r="K110" s="24">
        <v>7056</v>
      </c>
      <c r="L110" s="24">
        <v>8156</v>
      </c>
      <c r="M110" s="19"/>
    </row>
    <row r="111" ht="14.1" customHeight="1" spans="1:13">
      <c r="A111" s="19"/>
      <c r="B111" s="19"/>
      <c r="C111" s="19"/>
      <c r="D111" s="19"/>
      <c r="E111" s="19"/>
      <c r="F111" s="19"/>
      <c r="G111" s="19"/>
      <c r="H111" s="21"/>
      <c r="I111" s="21"/>
      <c r="J111" s="19"/>
      <c r="K111" s="19"/>
      <c r="L111" s="19"/>
      <c r="M111" s="19"/>
    </row>
    <row r="112" ht="14.1" customHeight="1" spans="1:13">
      <c r="A112" s="22">
        <v>561</v>
      </c>
      <c r="B112" s="19"/>
      <c r="C112" s="19" t="s">
        <v>635</v>
      </c>
      <c r="D112" s="19" t="s">
        <v>39</v>
      </c>
      <c r="E112" s="19"/>
      <c r="F112" s="19"/>
      <c r="G112" s="19"/>
      <c r="H112" s="21"/>
      <c r="I112" s="21"/>
      <c r="J112" s="19"/>
      <c r="K112" s="19"/>
      <c r="L112" s="19"/>
      <c r="M112" s="24">
        <v>17881</v>
      </c>
    </row>
    <row r="113" ht="14.1" customHeight="1" spans="1:13">
      <c r="A113" s="19"/>
      <c r="B113" s="19"/>
      <c r="C113" s="19"/>
      <c r="D113" s="19"/>
      <c r="E113" s="19"/>
      <c r="F113" s="19"/>
      <c r="G113" s="19"/>
      <c r="H113" s="21"/>
      <c r="I113" s="21"/>
      <c r="J113" s="19"/>
      <c r="K113" s="19"/>
      <c r="L113" s="19"/>
      <c r="M113" s="19"/>
    </row>
    <row r="114" ht="14.1" customHeight="1" spans="1:13">
      <c r="A114" s="22">
        <v>562</v>
      </c>
      <c r="B114" s="19"/>
      <c r="C114" s="19" t="s">
        <v>636</v>
      </c>
      <c r="D114" s="19" t="s">
        <v>39</v>
      </c>
      <c r="E114" s="19"/>
      <c r="F114" s="19"/>
      <c r="G114" s="24">
        <v>7334</v>
      </c>
      <c r="H114" s="23">
        <v>7988</v>
      </c>
      <c r="I114" s="23">
        <v>9425</v>
      </c>
      <c r="J114" s="24">
        <v>11054</v>
      </c>
      <c r="K114" s="24">
        <v>12992</v>
      </c>
      <c r="L114" s="24">
        <v>15936</v>
      </c>
      <c r="M114" s="19"/>
    </row>
    <row r="115" ht="14.1" customHeight="1" spans="1:13">
      <c r="A115" s="19"/>
      <c r="B115" s="19"/>
      <c r="C115" s="19"/>
      <c r="D115" s="19"/>
      <c r="E115" s="19"/>
      <c r="F115" s="19"/>
      <c r="G115" s="19"/>
      <c r="H115" s="21"/>
      <c r="I115" s="21"/>
      <c r="J115" s="19"/>
      <c r="K115" s="19"/>
      <c r="L115" s="19"/>
      <c r="M115" s="19"/>
    </row>
    <row r="116" ht="14.1" customHeight="1" spans="1:13">
      <c r="A116" s="22">
        <v>563</v>
      </c>
      <c r="B116" s="19"/>
      <c r="C116" s="19" t="s">
        <v>637</v>
      </c>
      <c r="D116" s="19" t="s">
        <v>39</v>
      </c>
      <c r="E116" s="24">
        <v>3563</v>
      </c>
      <c r="F116" s="24">
        <v>3969</v>
      </c>
      <c r="G116" s="24">
        <v>4406</v>
      </c>
      <c r="H116" s="23">
        <v>4913</v>
      </c>
      <c r="I116" s="23">
        <v>6113</v>
      </c>
      <c r="J116" s="24">
        <v>9488</v>
      </c>
      <c r="K116" s="24">
        <v>10458</v>
      </c>
      <c r="L116" s="24">
        <v>13950</v>
      </c>
      <c r="M116" s="24">
        <v>16043</v>
      </c>
    </row>
    <row r="117" ht="14.1" customHeight="1" spans="1:13">
      <c r="A117" s="19"/>
      <c r="B117" s="19"/>
      <c r="C117" s="19"/>
      <c r="D117" s="19"/>
      <c r="E117" s="19"/>
      <c r="F117" s="19"/>
      <c r="G117" s="19"/>
      <c r="H117" s="21"/>
      <c r="I117" s="21"/>
      <c r="J117" s="19"/>
      <c r="K117" s="19"/>
      <c r="L117" s="19"/>
      <c r="M117" s="19"/>
    </row>
    <row r="118" ht="14.1" customHeight="1" spans="1:13">
      <c r="A118" s="22">
        <v>564</v>
      </c>
      <c r="B118" s="19"/>
      <c r="C118" s="19" t="s">
        <v>638</v>
      </c>
      <c r="D118" s="19" t="s">
        <v>39</v>
      </c>
      <c r="E118" s="19"/>
      <c r="F118" s="19"/>
      <c r="G118" s="19"/>
      <c r="H118" s="21"/>
      <c r="I118" s="21"/>
      <c r="J118" s="19"/>
      <c r="K118" s="19"/>
      <c r="L118" s="19"/>
      <c r="M118" s="24">
        <v>24613</v>
      </c>
    </row>
    <row r="119" ht="14.1" customHeight="1" spans="1:13">
      <c r="A119" s="19"/>
      <c r="B119" s="19"/>
      <c r="C119" s="19"/>
      <c r="D119" s="19"/>
      <c r="E119" s="19"/>
      <c r="F119" s="19"/>
      <c r="G119" s="19"/>
      <c r="H119" s="21"/>
      <c r="I119" s="21"/>
      <c r="J119" s="19"/>
      <c r="K119" s="19"/>
      <c r="L119" s="19"/>
      <c r="M119" s="19"/>
    </row>
    <row r="120" ht="14.1" customHeight="1" spans="1:13">
      <c r="A120" s="22">
        <v>565</v>
      </c>
      <c r="B120" s="19"/>
      <c r="C120" s="19" t="s">
        <v>639</v>
      </c>
      <c r="D120" s="19" t="s">
        <v>39</v>
      </c>
      <c r="E120" s="24">
        <v>2069</v>
      </c>
      <c r="F120" s="24">
        <v>2238</v>
      </c>
      <c r="G120" s="24">
        <v>2827</v>
      </c>
      <c r="H120" s="23">
        <v>3350</v>
      </c>
      <c r="I120" s="23">
        <v>5038</v>
      </c>
      <c r="J120" s="24">
        <v>6254</v>
      </c>
      <c r="K120" s="24">
        <v>7756</v>
      </c>
      <c r="L120" s="24">
        <v>9725</v>
      </c>
      <c r="M120" s="24">
        <v>11184</v>
      </c>
    </row>
    <row r="121" ht="14.1" customHeight="1" spans="1:13">
      <c r="A121" s="19"/>
      <c r="B121" s="19"/>
      <c r="C121" s="19"/>
      <c r="D121" s="19"/>
      <c r="E121" s="19"/>
      <c r="F121" s="19"/>
      <c r="G121" s="19"/>
      <c r="H121" s="21"/>
      <c r="I121" s="21"/>
      <c r="J121" s="19"/>
      <c r="K121" s="19"/>
      <c r="L121" s="19"/>
      <c r="M121" s="19"/>
    </row>
    <row r="122" ht="14.1" customHeight="1" spans="1:13">
      <c r="A122" s="22">
        <v>566</v>
      </c>
      <c r="B122" s="19"/>
      <c r="C122" s="19" t="s">
        <v>640</v>
      </c>
      <c r="D122" s="19" t="s">
        <v>39</v>
      </c>
      <c r="E122" s="19"/>
      <c r="F122" s="19"/>
      <c r="G122" s="19"/>
      <c r="H122" s="21"/>
      <c r="I122" s="21"/>
      <c r="J122" s="19"/>
      <c r="K122" s="19"/>
      <c r="L122" s="19"/>
      <c r="M122" s="24">
        <v>18994</v>
      </c>
    </row>
    <row r="123" ht="14.1" customHeight="1" spans="1:13">
      <c r="A123" s="19"/>
      <c r="B123" s="19"/>
      <c r="C123" s="19"/>
      <c r="D123" s="19"/>
      <c r="E123" s="19"/>
      <c r="F123" s="19"/>
      <c r="G123" s="19"/>
      <c r="H123" s="21"/>
      <c r="I123" s="21"/>
      <c r="J123" s="19"/>
      <c r="K123" s="19"/>
      <c r="L123" s="19"/>
      <c r="M123" s="19"/>
    </row>
    <row r="124" ht="14.1" customHeight="1" spans="1:13">
      <c r="A124" s="22">
        <v>567</v>
      </c>
      <c r="B124" s="19"/>
      <c r="C124" s="19" t="s">
        <v>641</v>
      </c>
      <c r="D124" s="19" t="s">
        <v>39</v>
      </c>
      <c r="E124" s="19"/>
      <c r="F124" s="19"/>
      <c r="G124" s="19"/>
      <c r="H124" s="21"/>
      <c r="I124" s="21"/>
      <c r="J124" s="19"/>
      <c r="K124" s="24">
        <v>5646</v>
      </c>
      <c r="L124" s="24">
        <v>6496</v>
      </c>
      <c r="M124" s="19"/>
    </row>
    <row r="125" ht="14.1" customHeight="1" spans="1:13">
      <c r="A125" s="19"/>
      <c r="B125" s="19"/>
      <c r="C125" s="19"/>
      <c r="D125" s="19"/>
      <c r="E125" s="19"/>
      <c r="F125" s="19"/>
      <c r="G125" s="19"/>
      <c r="H125" s="21"/>
      <c r="I125" s="21"/>
      <c r="J125" s="19"/>
      <c r="K125" s="19"/>
      <c r="L125" s="19"/>
      <c r="M125" s="19"/>
    </row>
    <row r="126" ht="14.1" customHeight="1" spans="1:13">
      <c r="A126" s="22">
        <v>568</v>
      </c>
      <c r="B126" s="19"/>
      <c r="C126" s="19" t="s">
        <v>524</v>
      </c>
      <c r="D126" s="19" t="s">
        <v>39</v>
      </c>
      <c r="E126" s="24">
        <v>1760</v>
      </c>
      <c r="F126" s="24">
        <v>2130</v>
      </c>
      <c r="G126" s="24">
        <v>2492</v>
      </c>
      <c r="H126" s="23">
        <v>2911</v>
      </c>
      <c r="I126" s="23">
        <v>3463</v>
      </c>
      <c r="J126" s="24">
        <v>4083</v>
      </c>
      <c r="K126" s="19"/>
      <c r="L126" s="19"/>
      <c r="M126" s="19"/>
    </row>
    <row r="127" ht="14.1" customHeight="1" spans="1:13">
      <c r="A127" s="19"/>
      <c r="B127" s="19"/>
      <c r="C127" s="19"/>
      <c r="D127" s="19"/>
      <c r="E127" s="19"/>
      <c r="F127" s="19"/>
      <c r="G127" s="19"/>
      <c r="H127" s="21"/>
      <c r="I127" s="21"/>
      <c r="J127" s="19"/>
      <c r="K127" s="19"/>
      <c r="L127" s="19"/>
      <c r="M127" s="19"/>
    </row>
    <row r="128" ht="14.1" customHeight="1" spans="1:13">
      <c r="A128" s="19"/>
      <c r="B128" s="19"/>
      <c r="C128" s="20" t="s">
        <v>642</v>
      </c>
      <c r="D128" s="19"/>
      <c r="E128" s="19"/>
      <c r="F128" s="19"/>
      <c r="G128" s="19"/>
      <c r="H128" s="21"/>
      <c r="I128" s="21"/>
      <c r="J128" s="19"/>
      <c r="K128" s="19"/>
      <c r="L128" s="19"/>
      <c r="M128" s="19"/>
    </row>
    <row r="129" ht="14.1" customHeight="1" spans="1:13">
      <c r="A129" s="22">
        <v>569</v>
      </c>
      <c r="B129" s="19"/>
      <c r="C129" s="19" t="s">
        <v>643</v>
      </c>
      <c r="D129" s="19" t="s">
        <v>39</v>
      </c>
      <c r="E129" s="19"/>
      <c r="F129" s="19"/>
      <c r="G129" s="19"/>
      <c r="H129" s="21"/>
      <c r="I129" s="21"/>
      <c r="J129" s="19"/>
      <c r="K129" s="19"/>
      <c r="L129" s="19"/>
      <c r="M129" s="24">
        <v>19323</v>
      </c>
    </row>
    <row r="130" ht="14.1" customHeight="1" spans="1:13">
      <c r="A130" s="19"/>
      <c r="B130" s="19"/>
      <c r="C130" s="19"/>
      <c r="D130" s="19"/>
      <c r="E130" s="19"/>
      <c r="F130" s="19"/>
      <c r="G130" s="19"/>
      <c r="H130" s="21"/>
      <c r="I130" s="21"/>
      <c r="J130" s="19"/>
      <c r="K130" s="19"/>
      <c r="L130" s="19"/>
      <c r="M130" s="19"/>
    </row>
    <row r="131" ht="14.1" customHeight="1" spans="1:13">
      <c r="A131" s="22">
        <v>570</v>
      </c>
      <c r="B131" s="19"/>
      <c r="C131" s="19" t="s">
        <v>644</v>
      </c>
      <c r="D131" s="19" t="s">
        <v>39</v>
      </c>
      <c r="E131" s="19"/>
      <c r="F131" s="19"/>
      <c r="G131" s="19"/>
      <c r="H131" s="21"/>
      <c r="I131" s="21"/>
      <c r="J131" s="19"/>
      <c r="K131" s="19"/>
      <c r="L131" s="19"/>
      <c r="M131" s="24">
        <v>31521</v>
      </c>
    </row>
    <row r="132" ht="14.1" customHeight="1" spans="1:13">
      <c r="A132" s="19"/>
      <c r="B132" s="19"/>
      <c r="C132" s="19"/>
      <c r="D132" s="19"/>
      <c r="E132" s="19"/>
      <c r="F132" s="19"/>
      <c r="G132" s="19"/>
      <c r="H132" s="21"/>
      <c r="I132" s="21"/>
      <c r="J132" s="19"/>
      <c r="K132" s="19"/>
      <c r="L132" s="19"/>
      <c r="M132" s="19"/>
    </row>
    <row r="133" ht="14.1" customHeight="1" spans="1:13">
      <c r="A133" s="22">
        <v>571</v>
      </c>
      <c r="B133" s="19"/>
      <c r="C133" s="19" t="s">
        <v>645</v>
      </c>
      <c r="D133" s="19" t="s">
        <v>39</v>
      </c>
      <c r="E133" s="19"/>
      <c r="F133" s="19"/>
      <c r="G133" s="19"/>
      <c r="H133" s="21"/>
      <c r="I133" s="23">
        <v>6538</v>
      </c>
      <c r="J133" s="24">
        <v>7663</v>
      </c>
      <c r="K133" s="24">
        <v>8938</v>
      </c>
      <c r="L133" s="24">
        <v>11529</v>
      </c>
      <c r="M133" s="19"/>
    </row>
    <row r="134" ht="14.1" customHeight="1" spans="1:13">
      <c r="A134" s="19"/>
      <c r="B134" s="19"/>
      <c r="C134" s="19"/>
      <c r="D134" s="19"/>
      <c r="E134" s="19"/>
      <c r="F134" s="19"/>
      <c r="G134" s="19"/>
      <c r="H134" s="21"/>
      <c r="I134" s="21"/>
      <c r="J134" s="19"/>
      <c r="K134" s="19"/>
      <c r="L134" s="19"/>
      <c r="M134" s="19"/>
    </row>
    <row r="135" ht="14.1" customHeight="1" spans="1:13">
      <c r="A135" s="22">
        <v>572</v>
      </c>
      <c r="B135" s="19"/>
      <c r="C135" s="19" t="s">
        <v>646</v>
      </c>
      <c r="D135" s="19" t="s">
        <v>39</v>
      </c>
      <c r="E135" s="19"/>
      <c r="F135" s="19"/>
      <c r="G135" s="19"/>
      <c r="H135" s="21"/>
      <c r="I135" s="23">
        <v>6756</v>
      </c>
      <c r="J135" s="24">
        <v>8228</v>
      </c>
      <c r="K135" s="24">
        <v>9659</v>
      </c>
      <c r="L135" s="24">
        <v>11965</v>
      </c>
      <c r="M135" s="19"/>
    </row>
    <row r="136" ht="14.1" customHeight="1" spans="1:13">
      <c r="A136" s="19"/>
      <c r="B136" s="19"/>
      <c r="C136" s="19"/>
      <c r="D136" s="19"/>
      <c r="E136" s="19"/>
      <c r="F136" s="19"/>
      <c r="G136" s="19"/>
      <c r="H136" s="21"/>
      <c r="I136" s="21"/>
      <c r="J136" s="19"/>
      <c r="K136" s="19"/>
      <c r="L136" s="19"/>
      <c r="M136" s="19"/>
    </row>
    <row r="137" ht="14.1" customHeight="1" spans="1:13">
      <c r="A137" s="22">
        <v>573</v>
      </c>
      <c r="B137" s="19"/>
      <c r="C137" s="19" t="s">
        <v>647</v>
      </c>
      <c r="D137" s="19" t="s">
        <v>39</v>
      </c>
      <c r="E137" s="19"/>
      <c r="F137" s="19"/>
      <c r="G137" s="19"/>
      <c r="H137" s="21"/>
      <c r="I137" s="21"/>
      <c r="J137" s="19"/>
      <c r="K137" s="24">
        <v>9506</v>
      </c>
      <c r="L137" s="24">
        <v>11297</v>
      </c>
      <c r="M137" s="19"/>
    </row>
    <row r="138" ht="14.1" customHeight="1" spans="1:13">
      <c r="A138" s="19"/>
      <c r="B138" s="19"/>
      <c r="C138" s="19"/>
      <c r="D138" s="19"/>
      <c r="E138" s="19"/>
      <c r="F138" s="19"/>
      <c r="G138" s="19"/>
      <c r="H138" s="21"/>
      <c r="I138" s="21"/>
      <c r="J138" s="19"/>
      <c r="K138" s="19"/>
      <c r="L138" s="19"/>
      <c r="M138" s="19"/>
    </row>
    <row r="139" ht="14.1" customHeight="1" spans="1:13">
      <c r="A139" s="22">
        <v>574</v>
      </c>
      <c r="B139" s="19"/>
      <c r="C139" s="19" t="s">
        <v>648</v>
      </c>
      <c r="D139" s="19" t="s">
        <v>39</v>
      </c>
      <c r="E139" s="24">
        <v>2738</v>
      </c>
      <c r="F139" s="24">
        <v>3025</v>
      </c>
      <c r="G139" s="24">
        <v>3300</v>
      </c>
      <c r="H139" s="23">
        <v>4150</v>
      </c>
      <c r="I139" s="23">
        <v>4883</v>
      </c>
      <c r="J139" s="24">
        <v>5313</v>
      </c>
      <c r="K139" s="24">
        <v>6625</v>
      </c>
      <c r="L139" s="24">
        <v>7388</v>
      </c>
      <c r="M139" s="19"/>
    </row>
    <row r="140" ht="14.1" customHeight="1" spans="1:13">
      <c r="A140" s="19"/>
      <c r="B140" s="19"/>
      <c r="C140" s="19"/>
      <c r="D140" s="19"/>
      <c r="E140" s="19"/>
      <c r="F140" s="19"/>
      <c r="G140" s="19"/>
      <c r="H140" s="21"/>
      <c r="I140" s="21"/>
      <c r="J140" s="19"/>
      <c r="K140" s="19"/>
      <c r="L140" s="19"/>
      <c r="M140" s="19"/>
    </row>
    <row r="141" ht="14.1" customHeight="1" spans="1:13">
      <c r="A141" s="22">
        <v>575</v>
      </c>
      <c r="B141" s="19"/>
      <c r="C141" s="19" t="s">
        <v>649</v>
      </c>
      <c r="D141" s="19" t="s">
        <v>39</v>
      </c>
      <c r="E141" s="24">
        <v>2944</v>
      </c>
      <c r="F141" s="24">
        <v>3219</v>
      </c>
      <c r="G141" s="24">
        <v>3500</v>
      </c>
      <c r="H141" s="23">
        <v>4063</v>
      </c>
      <c r="I141" s="23">
        <v>4794</v>
      </c>
      <c r="J141" s="24">
        <v>6013</v>
      </c>
      <c r="K141" s="24">
        <v>7158</v>
      </c>
      <c r="L141" s="24">
        <v>7950</v>
      </c>
      <c r="M141" s="19"/>
    </row>
    <row r="142" ht="14.1" customHeight="1" spans="1:13">
      <c r="A142" s="19"/>
      <c r="B142" s="19"/>
      <c r="C142" s="19"/>
      <c r="D142" s="19"/>
      <c r="E142" s="19"/>
      <c r="F142" s="19"/>
      <c r="G142" s="19"/>
      <c r="H142" s="21"/>
      <c r="I142" s="21"/>
      <c r="J142" s="19"/>
      <c r="K142" s="19"/>
      <c r="L142" s="19"/>
      <c r="M142" s="19"/>
    </row>
    <row r="143" ht="14.1" customHeight="1" spans="1:13">
      <c r="A143" s="22">
        <v>576</v>
      </c>
      <c r="B143" s="19"/>
      <c r="C143" s="19" t="s">
        <v>650</v>
      </c>
      <c r="D143" s="19" t="s">
        <v>39</v>
      </c>
      <c r="E143" s="24">
        <v>3381</v>
      </c>
      <c r="F143" s="24">
        <v>3413</v>
      </c>
      <c r="G143" s="24">
        <v>3688</v>
      </c>
      <c r="H143" s="23">
        <v>4331</v>
      </c>
      <c r="I143" s="23">
        <v>5169</v>
      </c>
      <c r="J143" s="24">
        <v>6619</v>
      </c>
      <c r="K143" s="24">
        <v>7988</v>
      </c>
      <c r="L143" s="24">
        <v>8925</v>
      </c>
      <c r="M143" s="19"/>
    </row>
    <row r="144" ht="14.1" customHeight="1" spans="1:13">
      <c r="A144" s="19"/>
      <c r="B144" s="19"/>
      <c r="C144" s="19"/>
      <c r="D144" s="19"/>
      <c r="E144" s="19"/>
      <c r="F144" s="19"/>
      <c r="G144" s="19"/>
      <c r="H144" s="21"/>
      <c r="I144" s="21"/>
      <c r="J144" s="19"/>
      <c r="K144" s="19"/>
      <c r="L144" s="19"/>
      <c r="M144" s="19"/>
    </row>
    <row r="145" ht="14.1" customHeight="1" spans="1:13">
      <c r="A145" s="22">
        <v>577</v>
      </c>
      <c r="B145" s="19"/>
      <c r="C145" s="19" t="s">
        <v>651</v>
      </c>
      <c r="D145" s="19" t="s">
        <v>39</v>
      </c>
      <c r="E145" s="19"/>
      <c r="F145" s="19"/>
      <c r="G145" s="19"/>
      <c r="H145" s="21"/>
      <c r="I145" s="21"/>
      <c r="J145" s="19"/>
      <c r="K145" s="19"/>
      <c r="L145" s="19"/>
      <c r="M145" s="24">
        <v>13667</v>
      </c>
    </row>
    <row r="146" ht="14.1" customHeight="1" spans="1:13">
      <c r="A146" s="19"/>
      <c r="B146" s="19"/>
      <c r="C146" s="19"/>
      <c r="D146" s="19"/>
      <c r="E146" s="19"/>
      <c r="F146" s="19"/>
      <c r="G146" s="19"/>
      <c r="H146" s="21"/>
      <c r="I146" s="21"/>
      <c r="J146" s="19"/>
      <c r="K146" s="19"/>
      <c r="L146" s="19"/>
      <c r="M146" s="19"/>
    </row>
    <row r="147" ht="14.1" customHeight="1" spans="1:13">
      <c r="A147" s="22">
        <v>578</v>
      </c>
      <c r="B147" s="19"/>
      <c r="C147" s="19" t="s">
        <v>652</v>
      </c>
      <c r="D147" s="19" t="s">
        <v>39</v>
      </c>
      <c r="E147" s="19"/>
      <c r="F147" s="19"/>
      <c r="G147" s="19"/>
      <c r="H147" s="21"/>
      <c r="I147" s="21"/>
      <c r="J147" s="19"/>
      <c r="K147" s="19"/>
      <c r="L147" s="19"/>
      <c r="M147" s="24">
        <v>14550</v>
      </c>
    </row>
    <row r="148" ht="14.1" customHeight="1" spans="1:13">
      <c r="A148" s="19"/>
      <c r="B148" s="19"/>
      <c r="C148" s="19"/>
      <c r="D148" s="19"/>
      <c r="E148" s="19"/>
      <c r="F148" s="19"/>
      <c r="G148" s="19"/>
      <c r="H148" s="21"/>
      <c r="I148" s="21"/>
      <c r="J148" s="19"/>
      <c r="K148" s="19"/>
      <c r="L148" s="19"/>
      <c r="M148" s="19"/>
    </row>
    <row r="149" ht="14.1" customHeight="1" spans="1:13">
      <c r="A149" s="22">
        <v>579</v>
      </c>
      <c r="B149" s="19"/>
      <c r="C149" s="19" t="s">
        <v>653</v>
      </c>
      <c r="D149" s="19" t="s">
        <v>39</v>
      </c>
      <c r="E149" s="19"/>
      <c r="F149" s="19"/>
      <c r="G149" s="19"/>
      <c r="H149" s="21"/>
      <c r="I149" s="21"/>
      <c r="J149" s="19"/>
      <c r="K149" s="19"/>
      <c r="L149" s="19"/>
      <c r="M149" s="24">
        <v>15213</v>
      </c>
    </row>
    <row r="150" ht="14.1" customHeight="1" spans="1:13">
      <c r="A150" s="19"/>
      <c r="B150" s="19"/>
      <c r="C150" s="19"/>
      <c r="D150" s="19"/>
      <c r="E150" s="19"/>
      <c r="F150" s="19"/>
      <c r="G150" s="19"/>
      <c r="H150" s="21"/>
      <c r="I150" s="21"/>
      <c r="J150" s="19"/>
      <c r="K150" s="19"/>
      <c r="L150" s="19"/>
      <c r="M150" s="19"/>
    </row>
    <row r="151" ht="14.1" customHeight="1" spans="1:13">
      <c r="A151" s="22">
        <v>580</v>
      </c>
      <c r="B151" s="19"/>
      <c r="C151" s="19" t="s">
        <v>654</v>
      </c>
      <c r="D151" s="19" t="s">
        <v>39</v>
      </c>
      <c r="E151" s="24">
        <v>2345</v>
      </c>
      <c r="F151" s="24">
        <v>2670</v>
      </c>
      <c r="G151" s="24">
        <v>3143</v>
      </c>
      <c r="H151" s="23">
        <v>3356</v>
      </c>
      <c r="I151" s="21"/>
      <c r="J151" s="19"/>
      <c r="K151" s="19"/>
      <c r="L151" s="19"/>
      <c r="M151" s="19"/>
    </row>
    <row r="152" ht="14.1" customHeight="1" spans="1:13">
      <c r="A152" s="19"/>
      <c r="B152" s="19"/>
      <c r="C152" s="19"/>
      <c r="D152" s="19"/>
      <c r="E152" s="19"/>
      <c r="F152" s="19"/>
      <c r="G152" s="19"/>
      <c r="H152" s="21"/>
      <c r="I152" s="21"/>
      <c r="J152" s="19"/>
      <c r="K152" s="19"/>
      <c r="L152" s="19"/>
      <c r="M152" s="19"/>
    </row>
    <row r="153" ht="14.1" customHeight="1" spans="1:13">
      <c r="A153" s="22">
        <v>581</v>
      </c>
      <c r="B153" s="19"/>
      <c r="C153" s="19" t="s">
        <v>655</v>
      </c>
      <c r="D153" s="19" t="s">
        <v>39</v>
      </c>
      <c r="E153" s="24">
        <v>1925</v>
      </c>
      <c r="F153" s="24">
        <v>2238</v>
      </c>
      <c r="G153" s="24">
        <v>2525</v>
      </c>
      <c r="H153" s="23">
        <v>3183</v>
      </c>
      <c r="I153" s="23">
        <v>3792</v>
      </c>
      <c r="J153" s="24">
        <v>4306</v>
      </c>
      <c r="K153" s="24">
        <v>5244</v>
      </c>
      <c r="L153" s="24">
        <v>6581</v>
      </c>
      <c r="M153" s="19"/>
    </row>
    <row r="154" ht="14.1" customHeight="1" spans="1:13">
      <c r="A154" s="19"/>
      <c r="B154" s="19"/>
      <c r="C154" s="19"/>
      <c r="D154" s="19"/>
      <c r="E154" s="19"/>
      <c r="F154" s="19"/>
      <c r="G154" s="19"/>
      <c r="H154" s="21"/>
      <c r="I154" s="21"/>
      <c r="J154" s="19"/>
      <c r="K154" s="19"/>
      <c r="L154" s="19"/>
      <c r="M154" s="19"/>
    </row>
    <row r="155" ht="14.1" customHeight="1" spans="1:13">
      <c r="A155" s="22">
        <v>582</v>
      </c>
      <c r="B155" s="19"/>
      <c r="C155" s="19" t="s">
        <v>656</v>
      </c>
      <c r="D155" s="19" t="s">
        <v>39</v>
      </c>
      <c r="E155" s="19"/>
      <c r="F155" s="19"/>
      <c r="G155" s="19"/>
      <c r="H155" s="21"/>
      <c r="I155" s="21"/>
      <c r="J155" s="19"/>
      <c r="K155" s="19"/>
      <c r="L155" s="19"/>
      <c r="M155" s="24">
        <v>26021</v>
      </c>
    </row>
    <row r="156" ht="14.1" customHeight="1" spans="1:13">
      <c r="A156" s="19"/>
      <c r="B156" s="19"/>
      <c r="C156" s="19"/>
      <c r="D156" s="19"/>
      <c r="E156" s="19"/>
      <c r="F156" s="19"/>
      <c r="G156" s="19"/>
      <c r="H156" s="21"/>
      <c r="I156" s="21"/>
      <c r="J156" s="19"/>
      <c r="K156" s="19"/>
      <c r="L156" s="19"/>
      <c r="M156" s="19"/>
    </row>
    <row r="157" ht="14.1" customHeight="1" spans="1:13">
      <c r="A157" s="22">
        <v>583</v>
      </c>
      <c r="B157" s="19"/>
      <c r="C157" s="19" t="s">
        <v>657</v>
      </c>
      <c r="D157" s="19" t="s">
        <v>39</v>
      </c>
      <c r="E157" s="24">
        <v>3256</v>
      </c>
      <c r="F157" s="24">
        <v>3825</v>
      </c>
      <c r="G157" s="24">
        <v>6163</v>
      </c>
      <c r="H157" s="23">
        <v>6900</v>
      </c>
      <c r="I157" s="23">
        <v>8794</v>
      </c>
      <c r="J157" s="24">
        <v>10794</v>
      </c>
      <c r="K157" s="24">
        <v>13194</v>
      </c>
      <c r="L157" s="24">
        <v>16150</v>
      </c>
      <c r="M157" s="19"/>
    </row>
    <row r="158" ht="14.1" customHeight="1" spans="1:13">
      <c r="A158" s="19"/>
      <c r="B158" s="19"/>
      <c r="C158" s="19"/>
      <c r="D158" s="19"/>
      <c r="E158" s="19"/>
      <c r="F158" s="19"/>
      <c r="G158" s="19"/>
      <c r="H158" s="21"/>
      <c r="I158" s="21"/>
      <c r="J158" s="19"/>
      <c r="K158" s="19"/>
      <c r="L158" s="19"/>
      <c r="M158" s="19"/>
    </row>
    <row r="159" ht="14.1" customHeight="1" spans="1:13">
      <c r="A159" s="22">
        <v>584</v>
      </c>
      <c r="B159" s="19"/>
      <c r="C159" s="19" t="s">
        <v>658</v>
      </c>
      <c r="D159" s="19" t="s">
        <v>39</v>
      </c>
      <c r="E159" s="19"/>
      <c r="F159" s="19"/>
      <c r="G159" s="19"/>
      <c r="H159" s="21"/>
      <c r="I159" s="21"/>
      <c r="J159" s="19"/>
      <c r="K159" s="19"/>
      <c r="L159" s="19"/>
      <c r="M159" s="24">
        <v>31488</v>
      </c>
    </row>
    <row r="160" ht="14.1" customHeight="1" spans="1:13">
      <c r="A160" s="19"/>
      <c r="B160" s="19"/>
      <c r="C160" s="19"/>
      <c r="D160" s="19"/>
      <c r="E160" s="19"/>
      <c r="F160" s="19"/>
      <c r="G160" s="19"/>
      <c r="H160" s="21"/>
      <c r="I160" s="21"/>
      <c r="J160" s="19"/>
      <c r="K160" s="19"/>
      <c r="L160" s="19"/>
      <c r="M160" s="19"/>
    </row>
    <row r="161" ht="14.1" customHeight="1" spans="1:13">
      <c r="A161" s="22">
        <v>585</v>
      </c>
      <c r="B161" s="19"/>
      <c r="C161" s="19" t="s">
        <v>659</v>
      </c>
      <c r="D161" s="19" t="s">
        <v>39</v>
      </c>
      <c r="E161" s="19"/>
      <c r="F161" s="24">
        <v>4875</v>
      </c>
      <c r="G161" s="24">
        <v>5375</v>
      </c>
      <c r="H161" s="23">
        <v>9075</v>
      </c>
      <c r="I161" s="23">
        <v>10463</v>
      </c>
      <c r="J161" s="24">
        <v>12500</v>
      </c>
      <c r="K161" s="24">
        <v>15488</v>
      </c>
      <c r="L161" s="24">
        <v>18850</v>
      </c>
      <c r="M161" s="19"/>
    </row>
    <row r="162" ht="14.1" customHeight="1" spans="1:13">
      <c r="A162" s="19"/>
      <c r="B162" s="19"/>
      <c r="C162" s="19"/>
      <c r="D162" s="19"/>
      <c r="E162" s="19"/>
      <c r="F162" s="19"/>
      <c r="G162" s="19"/>
      <c r="H162" s="21"/>
      <c r="I162" s="21"/>
      <c r="J162" s="19"/>
      <c r="K162" s="19"/>
      <c r="L162" s="19"/>
      <c r="M162" s="19"/>
    </row>
    <row r="163" ht="14.1" customHeight="1" spans="1:13">
      <c r="A163" s="22">
        <v>586</v>
      </c>
      <c r="B163" s="19"/>
      <c r="C163" s="19" t="s">
        <v>660</v>
      </c>
      <c r="D163" s="19" t="s">
        <v>39</v>
      </c>
      <c r="E163" s="19"/>
      <c r="F163" s="19"/>
      <c r="G163" s="24">
        <v>6219</v>
      </c>
      <c r="H163" s="23">
        <v>6950</v>
      </c>
      <c r="I163" s="23">
        <v>8900</v>
      </c>
      <c r="J163" s="24">
        <v>10900</v>
      </c>
      <c r="K163" s="24">
        <v>13297</v>
      </c>
      <c r="L163" s="24">
        <v>16278</v>
      </c>
      <c r="M163" s="24">
        <v>18720</v>
      </c>
    </row>
    <row r="164" ht="14.1" customHeight="1" spans="1:13">
      <c r="A164" s="19"/>
      <c r="B164" s="19"/>
      <c r="C164" s="19"/>
      <c r="D164" s="19"/>
      <c r="E164" s="19"/>
      <c r="F164" s="19"/>
      <c r="G164" s="19"/>
      <c r="H164" s="21"/>
      <c r="I164" s="21"/>
      <c r="J164" s="19"/>
      <c r="K164" s="19"/>
      <c r="L164" s="19"/>
      <c r="M164" s="19"/>
    </row>
    <row r="165" ht="14.1" customHeight="1" spans="1:13">
      <c r="A165" s="19"/>
      <c r="B165" s="19"/>
      <c r="C165" s="20" t="s">
        <v>42</v>
      </c>
      <c r="D165" s="19"/>
      <c r="E165" s="19"/>
      <c r="F165" s="19"/>
      <c r="G165" s="19"/>
      <c r="H165" s="21"/>
      <c r="I165" s="21"/>
      <c r="J165" s="19"/>
      <c r="K165" s="19"/>
      <c r="L165" s="19"/>
      <c r="M165" s="19"/>
    </row>
    <row r="166" ht="14.1" customHeight="1" spans="1:13">
      <c r="A166" s="22">
        <v>587</v>
      </c>
      <c r="B166" s="19"/>
      <c r="C166" s="19" t="s">
        <v>661</v>
      </c>
      <c r="D166" s="19" t="s">
        <v>39</v>
      </c>
      <c r="E166" s="19"/>
      <c r="F166" s="24">
        <v>4025</v>
      </c>
      <c r="G166" s="24">
        <v>4650</v>
      </c>
      <c r="H166" s="23">
        <v>5392</v>
      </c>
      <c r="I166" s="23">
        <v>6206</v>
      </c>
      <c r="J166" s="24">
        <v>7680</v>
      </c>
      <c r="K166" s="24">
        <v>9442</v>
      </c>
      <c r="L166" s="24">
        <v>14722</v>
      </c>
      <c r="M166" s="24">
        <v>16930</v>
      </c>
    </row>
    <row r="167" ht="14.1" customHeight="1" spans="1:13">
      <c r="A167" s="19"/>
      <c r="B167" s="19"/>
      <c r="C167" s="19"/>
      <c r="D167" s="19"/>
      <c r="E167" s="19"/>
      <c r="F167" s="19"/>
      <c r="G167" s="19"/>
      <c r="H167" s="21"/>
      <c r="I167" s="21"/>
      <c r="J167" s="19"/>
      <c r="K167" s="19"/>
      <c r="L167" s="19"/>
      <c r="M167" s="19"/>
    </row>
    <row r="168" ht="14.1" customHeight="1" spans="1:13">
      <c r="A168" s="22">
        <v>588</v>
      </c>
      <c r="B168" s="19"/>
      <c r="C168" s="19" t="s">
        <v>662</v>
      </c>
      <c r="D168" s="19" t="s">
        <v>39</v>
      </c>
      <c r="E168" s="24">
        <v>2663</v>
      </c>
      <c r="F168" s="24">
        <v>2938</v>
      </c>
      <c r="G168" s="24">
        <v>3650</v>
      </c>
      <c r="H168" s="23">
        <v>4188</v>
      </c>
      <c r="I168" s="23">
        <v>4775</v>
      </c>
      <c r="J168" s="19"/>
      <c r="K168" s="19"/>
      <c r="L168" s="19"/>
      <c r="M168" s="19"/>
    </row>
    <row r="169" ht="14.1" customHeight="1" spans="1:13">
      <c r="A169" s="19"/>
      <c r="B169" s="19"/>
      <c r="C169" s="19"/>
      <c r="D169" s="19"/>
      <c r="E169" s="19"/>
      <c r="F169" s="19"/>
      <c r="G169" s="19"/>
      <c r="H169" s="21"/>
      <c r="I169" s="21"/>
      <c r="J169" s="19"/>
      <c r="K169" s="19"/>
      <c r="L169" s="19"/>
      <c r="M169" s="19"/>
    </row>
    <row r="170" ht="14.1" customHeight="1" spans="1:13">
      <c r="A170" s="22">
        <v>589</v>
      </c>
      <c r="B170" s="19"/>
      <c r="C170" s="19" t="s">
        <v>663</v>
      </c>
      <c r="D170" s="19" t="s">
        <v>39</v>
      </c>
      <c r="E170" s="19"/>
      <c r="F170" s="19"/>
      <c r="G170" s="19"/>
      <c r="H170" s="21"/>
      <c r="I170" s="21"/>
      <c r="J170" s="24">
        <v>9425</v>
      </c>
      <c r="K170" s="24">
        <v>11635</v>
      </c>
      <c r="L170" s="24">
        <v>14125</v>
      </c>
      <c r="M170" s="24">
        <v>16244</v>
      </c>
    </row>
    <row r="171" ht="14.1" customHeight="1" spans="1:13">
      <c r="A171" s="19"/>
      <c r="B171" s="19"/>
      <c r="C171" s="19"/>
      <c r="D171" s="19"/>
      <c r="E171" s="19"/>
      <c r="F171" s="19"/>
      <c r="G171" s="19"/>
      <c r="H171" s="21"/>
      <c r="I171" s="21"/>
      <c r="J171" s="19"/>
      <c r="K171" s="19"/>
      <c r="L171" s="19"/>
      <c r="M171" s="19"/>
    </row>
    <row r="172" ht="14.1" customHeight="1" spans="1:13">
      <c r="A172" s="22">
        <v>590</v>
      </c>
      <c r="B172" s="19"/>
      <c r="C172" s="19" t="s">
        <v>664</v>
      </c>
      <c r="D172" s="19" t="s">
        <v>39</v>
      </c>
      <c r="E172" s="19"/>
      <c r="F172" s="19"/>
      <c r="G172" s="19"/>
      <c r="H172" s="21"/>
      <c r="I172" s="21"/>
      <c r="J172" s="19"/>
      <c r="K172" s="19"/>
      <c r="L172" s="19"/>
      <c r="M172" s="24">
        <v>20133</v>
      </c>
    </row>
    <row r="173" ht="14.1" customHeight="1" spans="1:13">
      <c r="A173" s="19"/>
      <c r="B173" s="19"/>
      <c r="C173" s="19"/>
      <c r="D173" s="19"/>
      <c r="E173" s="19"/>
      <c r="F173" s="19"/>
      <c r="G173" s="19"/>
      <c r="H173" s="21"/>
      <c r="I173" s="21"/>
      <c r="J173" s="19"/>
      <c r="K173" s="19"/>
      <c r="L173" s="19"/>
      <c r="M173" s="19"/>
    </row>
    <row r="174" ht="14.1" customHeight="1" spans="1:13">
      <c r="A174" s="19"/>
      <c r="B174" s="19"/>
      <c r="C174" s="20" t="s">
        <v>665</v>
      </c>
      <c r="D174" s="19"/>
      <c r="E174" s="19"/>
      <c r="F174" s="19"/>
      <c r="G174" s="19"/>
      <c r="H174" s="21"/>
      <c r="I174" s="21"/>
      <c r="J174" s="19"/>
      <c r="K174" s="19"/>
      <c r="L174" s="19"/>
      <c r="M174" s="19"/>
    </row>
    <row r="175" ht="14.1" customHeight="1" spans="1:13">
      <c r="A175" s="22">
        <v>591</v>
      </c>
      <c r="B175" s="19"/>
      <c r="C175" s="19" t="s">
        <v>666</v>
      </c>
      <c r="D175" s="19" t="s">
        <v>39</v>
      </c>
      <c r="E175" s="19"/>
      <c r="F175" s="19"/>
      <c r="G175" s="19"/>
      <c r="H175" s="21"/>
      <c r="I175" s="21"/>
      <c r="J175" s="24">
        <v>16742</v>
      </c>
      <c r="K175" s="24">
        <v>19017</v>
      </c>
      <c r="L175" s="24">
        <v>22692</v>
      </c>
      <c r="M175" s="19"/>
    </row>
    <row r="176" ht="14.1" customHeight="1" spans="1:13">
      <c r="A176" s="19"/>
      <c r="B176" s="19"/>
      <c r="C176" s="19"/>
      <c r="D176" s="19"/>
      <c r="E176" s="19"/>
      <c r="F176" s="19"/>
      <c r="G176" s="19"/>
      <c r="H176" s="21"/>
      <c r="I176" s="21"/>
      <c r="J176" s="19"/>
      <c r="K176" s="19"/>
      <c r="L176" s="19"/>
      <c r="M176" s="19"/>
    </row>
    <row r="177" ht="14.1" customHeight="1" spans="1:13">
      <c r="A177" s="19"/>
      <c r="B177" s="19"/>
      <c r="C177" s="20" t="s">
        <v>46</v>
      </c>
      <c r="D177" s="19"/>
      <c r="E177" s="19"/>
      <c r="F177" s="19"/>
      <c r="G177" s="19"/>
      <c r="H177" s="21"/>
      <c r="I177" s="21"/>
      <c r="J177" s="19"/>
      <c r="K177" s="19"/>
      <c r="L177" s="19"/>
      <c r="M177" s="19"/>
    </row>
    <row r="178" ht="14.1" customHeight="1" spans="1:13">
      <c r="A178" s="22">
        <v>592</v>
      </c>
      <c r="B178" s="19"/>
      <c r="C178" s="19" t="s">
        <v>667</v>
      </c>
      <c r="D178" s="19" t="s">
        <v>39</v>
      </c>
      <c r="E178" s="19"/>
      <c r="F178" s="19"/>
      <c r="G178" s="19"/>
      <c r="H178" s="23">
        <v>3725</v>
      </c>
      <c r="I178" s="23">
        <v>4463</v>
      </c>
      <c r="J178" s="24">
        <v>5400</v>
      </c>
      <c r="K178" s="24">
        <v>6981</v>
      </c>
      <c r="L178" s="24">
        <v>8106</v>
      </c>
      <c r="M178" s="24">
        <v>9322</v>
      </c>
    </row>
    <row r="179" ht="14.1" customHeight="1" spans="1:13">
      <c r="A179" s="19"/>
      <c r="B179" s="19"/>
      <c r="C179" s="19"/>
      <c r="D179" s="19"/>
      <c r="E179" s="19"/>
      <c r="F179" s="19"/>
      <c r="G179" s="19"/>
      <c r="H179" s="21"/>
      <c r="I179" s="21"/>
      <c r="J179" s="19"/>
      <c r="K179" s="19"/>
      <c r="L179" s="19"/>
      <c r="M179" s="19"/>
    </row>
    <row r="180" ht="14.1" customHeight="1" spans="1:13">
      <c r="A180" s="22">
        <v>593</v>
      </c>
      <c r="B180" s="19"/>
      <c r="C180" s="19" t="s">
        <v>668</v>
      </c>
      <c r="D180" s="19" t="s">
        <v>39</v>
      </c>
      <c r="E180" s="19"/>
      <c r="F180" s="19"/>
      <c r="G180" s="19"/>
      <c r="H180" s="21"/>
      <c r="I180" s="21"/>
      <c r="J180" s="19"/>
      <c r="K180" s="19"/>
      <c r="L180" s="19"/>
      <c r="M180" s="24">
        <v>15563</v>
      </c>
    </row>
    <row r="181" ht="14.1" customHeight="1" spans="1:13">
      <c r="A181" s="19"/>
      <c r="B181" s="19"/>
      <c r="C181" s="19"/>
      <c r="D181" s="19"/>
      <c r="E181" s="19"/>
      <c r="F181" s="19"/>
      <c r="G181" s="19"/>
      <c r="H181" s="21"/>
      <c r="I181" s="21"/>
      <c r="J181" s="19"/>
      <c r="K181" s="19"/>
      <c r="L181" s="19"/>
      <c r="M181" s="19"/>
    </row>
    <row r="182" ht="14.1" customHeight="1" spans="1:13">
      <c r="A182" s="19"/>
      <c r="B182" s="19"/>
      <c r="C182" s="20" t="s">
        <v>237</v>
      </c>
      <c r="D182" s="19"/>
      <c r="E182" s="19"/>
      <c r="F182" s="19"/>
      <c r="G182" s="19"/>
      <c r="H182" s="21"/>
      <c r="I182" s="21"/>
      <c r="J182" s="19"/>
      <c r="K182" s="19"/>
      <c r="L182" s="19"/>
      <c r="M182" s="19"/>
    </row>
    <row r="183" ht="14.1" customHeight="1" spans="1:13">
      <c r="A183" s="22">
        <v>594</v>
      </c>
      <c r="B183" s="19"/>
      <c r="C183" s="19" t="s">
        <v>669</v>
      </c>
      <c r="D183" s="19" t="s">
        <v>39</v>
      </c>
      <c r="E183" s="19"/>
      <c r="F183" s="19"/>
      <c r="G183" s="19"/>
      <c r="H183" s="21"/>
      <c r="I183" s="21"/>
      <c r="J183" s="19"/>
      <c r="K183" s="19"/>
      <c r="L183" s="19"/>
      <c r="M183" s="24">
        <v>19269</v>
      </c>
    </row>
    <row r="184" ht="14.1" customHeight="1" spans="1:13">
      <c r="A184" s="19"/>
      <c r="B184" s="19"/>
      <c r="C184" s="19"/>
      <c r="D184" s="19"/>
      <c r="E184" s="19"/>
      <c r="F184" s="19"/>
      <c r="G184" s="19"/>
      <c r="H184" s="21"/>
      <c r="I184" s="21"/>
      <c r="J184" s="19"/>
      <c r="K184" s="19"/>
      <c r="L184" s="19"/>
      <c r="M184" s="19"/>
    </row>
    <row r="185" ht="14.1" customHeight="1" spans="1:13">
      <c r="A185" s="22">
        <v>595</v>
      </c>
      <c r="B185" s="19"/>
      <c r="C185" s="19" t="s">
        <v>670</v>
      </c>
      <c r="D185" s="19" t="s">
        <v>39</v>
      </c>
      <c r="E185" s="19"/>
      <c r="F185" s="19"/>
      <c r="G185" s="19"/>
      <c r="H185" s="21"/>
      <c r="I185" s="21"/>
      <c r="J185" s="19"/>
      <c r="K185" s="19"/>
      <c r="L185" s="19"/>
      <c r="M185" s="24">
        <v>25013</v>
      </c>
    </row>
    <row r="186" ht="14.1" customHeight="1" spans="1:13">
      <c r="A186" s="19"/>
      <c r="B186" s="19"/>
      <c r="C186" s="19"/>
      <c r="D186" s="19"/>
      <c r="E186" s="19"/>
      <c r="F186" s="19"/>
      <c r="G186" s="19"/>
      <c r="H186" s="21"/>
      <c r="I186" s="21"/>
      <c r="J186" s="19"/>
      <c r="K186" s="19"/>
      <c r="L186" s="19"/>
      <c r="M186" s="19"/>
    </row>
    <row r="187" ht="14.1" customHeight="1" spans="1:13">
      <c r="A187" s="22">
        <v>596</v>
      </c>
      <c r="B187" s="19"/>
      <c r="C187" s="19" t="s">
        <v>671</v>
      </c>
      <c r="D187" s="19" t="s">
        <v>39</v>
      </c>
      <c r="E187" s="19"/>
      <c r="F187" s="19"/>
      <c r="G187" s="19"/>
      <c r="H187" s="21"/>
      <c r="I187" s="21"/>
      <c r="J187" s="19"/>
      <c r="K187" s="19"/>
      <c r="L187" s="19"/>
      <c r="M187" s="24">
        <v>31275</v>
      </c>
    </row>
    <row r="188" ht="14.1" customHeight="1" spans="1:13">
      <c r="A188" s="19"/>
      <c r="B188" s="19"/>
      <c r="C188" s="19"/>
      <c r="D188" s="19"/>
      <c r="E188" s="19"/>
      <c r="F188" s="19"/>
      <c r="G188" s="19"/>
      <c r="H188" s="21"/>
      <c r="I188" s="21"/>
      <c r="J188" s="19"/>
      <c r="K188" s="19"/>
      <c r="L188" s="19"/>
      <c r="M188" s="19"/>
    </row>
    <row r="189" ht="14.1" customHeight="1" spans="1:13">
      <c r="A189" s="22">
        <v>597</v>
      </c>
      <c r="B189" s="19"/>
      <c r="C189" s="19" t="s">
        <v>672</v>
      </c>
      <c r="D189" s="19" t="s">
        <v>39</v>
      </c>
      <c r="E189" s="19"/>
      <c r="F189" s="19"/>
      <c r="G189" s="19"/>
      <c r="H189" s="21"/>
      <c r="I189" s="21"/>
      <c r="J189" s="24">
        <v>15483</v>
      </c>
      <c r="K189" s="24">
        <v>16708</v>
      </c>
      <c r="L189" s="24">
        <v>18396</v>
      </c>
      <c r="M189" s="19"/>
    </row>
    <row r="190" ht="14.1" customHeight="1" spans="1:13">
      <c r="A190" s="19"/>
      <c r="B190" s="19"/>
      <c r="C190" s="19"/>
      <c r="D190" s="19"/>
      <c r="E190" s="19"/>
      <c r="F190" s="19"/>
      <c r="G190" s="19"/>
      <c r="H190" s="21"/>
      <c r="I190" s="21"/>
      <c r="J190" s="19"/>
      <c r="K190" s="19"/>
      <c r="L190" s="19"/>
      <c r="M190" s="19"/>
    </row>
    <row r="191" ht="14.1" customHeight="1" spans="1:13">
      <c r="A191" s="22">
        <v>598</v>
      </c>
      <c r="B191" s="19"/>
      <c r="C191" s="19" t="s">
        <v>673</v>
      </c>
      <c r="D191" s="19" t="s">
        <v>39</v>
      </c>
      <c r="E191" s="19"/>
      <c r="F191" s="24">
        <v>4875</v>
      </c>
      <c r="G191" s="24">
        <v>6000</v>
      </c>
      <c r="H191" s="23">
        <v>7163</v>
      </c>
      <c r="I191" s="23">
        <v>8100</v>
      </c>
      <c r="J191" s="24">
        <v>8900</v>
      </c>
      <c r="K191" s="19"/>
      <c r="L191" s="19"/>
      <c r="M191" s="19"/>
    </row>
    <row r="192" ht="14.1" customHeight="1" spans="1:13">
      <c r="A192" s="19"/>
      <c r="B192" s="19"/>
      <c r="C192" s="19"/>
      <c r="D192" s="19"/>
      <c r="E192" s="19"/>
      <c r="F192" s="19"/>
      <c r="G192" s="19"/>
      <c r="H192" s="21"/>
      <c r="I192" s="21"/>
      <c r="J192" s="19"/>
      <c r="K192" s="19"/>
      <c r="L192" s="19"/>
      <c r="M192" s="19"/>
    </row>
    <row r="193" ht="14.1" customHeight="1" spans="1:13">
      <c r="A193" s="22">
        <v>599</v>
      </c>
      <c r="B193" s="19"/>
      <c r="C193" s="19" t="s">
        <v>674</v>
      </c>
      <c r="D193" s="19" t="s">
        <v>39</v>
      </c>
      <c r="E193" s="19"/>
      <c r="F193" s="19"/>
      <c r="G193" s="19"/>
      <c r="H193" s="21"/>
      <c r="I193" s="21"/>
      <c r="J193" s="19"/>
      <c r="K193" s="24">
        <v>18338</v>
      </c>
      <c r="L193" s="24">
        <v>22350</v>
      </c>
      <c r="M193" s="24">
        <v>25703</v>
      </c>
    </row>
    <row r="194" ht="14.1" customHeight="1" spans="1:13">
      <c r="A194" s="19"/>
      <c r="B194" s="19"/>
      <c r="C194" s="19"/>
      <c r="D194" s="19"/>
      <c r="E194" s="19"/>
      <c r="F194" s="19"/>
      <c r="G194" s="19"/>
      <c r="H194" s="21"/>
      <c r="I194" s="21"/>
      <c r="J194" s="19"/>
      <c r="K194" s="19"/>
      <c r="L194" s="19"/>
      <c r="M194" s="19"/>
    </row>
    <row r="195" ht="14.1" customHeight="1" spans="1:13">
      <c r="A195" s="19"/>
      <c r="B195" s="19"/>
      <c r="C195" s="20" t="s">
        <v>530</v>
      </c>
      <c r="D195" s="19"/>
      <c r="E195" s="19"/>
      <c r="F195" s="19"/>
      <c r="G195" s="19"/>
      <c r="H195" s="21"/>
      <c r="I195" s="21"/>
      <c r="J195" s="19"/>
      <c r="K195" s="19"/>
      <c r="L195" s="19"/>
      <c r="M195" s="19"/>
    </row>
    <row r="196" ht="14.1" customHeight="1" spans="1:13">
      <c r="A196" s="22">
        <v>600</v>
      </c>
      <c r="B196" s="19"/>
      <c r="C196" s="19" t="s">
        <v>675</v>
      </c>
      <c r="D196" s="19" t="s">
        <v>39</v>
      </c>
      <c r="E196" s="19"/>
      <c r="F196" s="19"/>
      <c r="G196" s="19"/>
      <c r="H196" s="21"/>
      <c r="I196" s="21"/>
      <c r="J196" s="24">
        <v>5788</v>
      </c>
      <c r="K196" s="24">
        <v>6648</v>
      </c>
      <c r="L196" s="24">
        <v>7808</v>
      </c>
      <c r="M196" s="19"/>
    </row>
    <row r="197" ht="14.1" customHeight="1" spans="1:13">
      <c r="A197" s="19"/>
      <c r="B197" s="19"/>
      <c r="C197" s="19"/>
      <c r="D197" s="19"/>
      <c r="E197" s="19"/>
      <c r="F197" s="19"/>
      <c r="G197" s="19"/>
      <c r="H197" s="21"/>
      <c r="I197" s="21"/>
      <c r="J197" s="19"/>
      <c r="K197" s="19"/>
      <c r="L197" s="19"/>
      <c r="M197" s="19"/>
    </row>
    <row r="198" ht="14.1" customHeight="1" spans="1:13">
      <c r="A198" s="22">
        <v>601</v>
      </c>
      <c r="B198" s="19"/>
      <c r="C198" s="19" t="s">
        <v>676</v>
      </c>
      <c r="D198" s="19" t="s">
        <v>39</v>
      </c>
      <c r="E198" s="19"/>
      <c r="F198" s="19"/>
      <c r="G198" s="19"/>
      <c r="H198" s="21"/>
      <c r="I198" s="21"/>
      <c r="J198" s="24">
        <v>6875</v>
      </c>
      <c r="K198" s="24">
        <v>7825</v>
      </c>
      <c r="L198" s="24">
        <v>9213</v>
      </c>
      <c r="M198" s="19"/>
    </row>
    <row r="199" ht="14.1" customHeight="1" spans="1:13">
      <c r="A199" s="19"/>
      <c r="B199" s="19"/>
      <c r="C199" s="19"/>
      <c r="D199" s="19"/>
      <c r="E199" s="19"/>
      <c r="F199" s="19"/>
      <c r="G199" s="19"/>
      <c r="H199" s="21"/>
      <c r="I199" s="21"/>
      <c r="J199" s="19"/>
      <c r="K199" s="19"/>
      <c r="L199" s="19"/>
      <c r="M199" s="19"/>
    </row>
    <row r="200" ht="14.1" customHeight="1" spans="1:13">
      <c r="A200" s="22">
        <v>602</v>
      </c>
      <c r="B200" s="19"/>
      <c r="C200" s="19" t="s">
        <v>677</v>
      </c>
      <c r="D200" s="19" t="s">
        <v>39</v>
      </c>
      <c r="E200" s="19"/>
      <c r="F200" s="24">
        <v>2892</v>
      </c>
      <c r="G200" s="24">
        <v>3240</v>
      </c>
      <c r="H200" s="21"/>
      <c r="I200" s="21"/>
      <c r="J200" s="19"/>
      <c r="K200" s="19"/>
      <c r="L200" s="19"/>
      <c r="M200" s="19"/>
    </row>
    <row r="201" ht="14.1" customHeight="1" spans="1:13">
      <c r="A201" s="19"/>
      <c r="B201" s="19"/>
      <c r="C201" s="19"/>
      <c r="D201" s="19"/>
      <c r="E201" s="19"/>
      <c r="F201" s="19"/>
      <c r="G201" s="19"/>
      <c r="H201" s="21"/>
      <c r="I201" s="21"/>
      <c r="J201" s="19"/>
      <c r="K201" s="19"/>
      <c r="L201" s="19"/>
      <c r="M201" s="19"/>
    </row>
    <row r="202" ht="14.1" customHeight="1" spans="1:13">
      <c r="A202" s="22">
        <v>603</v>
      </c>
      <c r="B202" s="19"/>
      <c r="C202" s="19" t="s">
        <v>678</v>
      </c>
      <c r="D202" s="19" t="s">
        <v>39</v>
      </c>
      <c r="E202" s="19"/>
      <c r="F202" s="19"/>
      <c r="G202" s="19"/>
      <c r="H202" s="21"/>
      <c r="I202" s="23">
        <v>4913</v>
      </c>
      <c r="J202" s="24">
        <v>5638</v>
      </c>
      <c r="K202" s="24">
        <v>6575</v>
      </c>
      <c r="L202" s="19"/>
      <c r="M202" s="19"/>
    </row>
    <row r="203" ht="14.1" customHeight="1" spans="1:13">
      <c r="A203" s="19"/>
      <c r="B203" s="19"/>
      <c r="C203" s="19"/>
      <c r="D203" s="19"/>
      <c r="E203" s="19"/>
      <c r="F203" s="19"/>
      <c r="G203" s="19"/>
      <c r="H203" s="21"/>
      <c r="I203" s="21"/>
      <c r="J203" s="19"/>
      <c r="K203" s="19"/>
      <c r="L203" s="19"/>
      <c r="M203" s="19"/>
    </row>
    <row r="204" ht="14.1" customHeight="1" spans="1:13">
      <c r="A204" s="22">
        <v>604</v>
      </c>
      <c r="B204" s="19"/>
      <c r="C204" s="19" t="s">
        <v>679</v>
      </c>
      <c r="D204" s="19" t="s">
        <v>39</v>
      </c>
      <c r="E204" s="24">
        <v>2313</v>
      </c>
      <c r="F204" s="24">
        <v>2758</v>
      </c>
      <c r="G204" s="24">
        <v>3050</v>
      </c>
      <c r="H204" s="23">
        <v>3538</v>
      </c>
      <c r="I204" s="23">
        <v>4084</v>
      </c>
      <c r="J204" s="24">
        <v>4425</v>
      </c>
      <c r="K204" s="24">
        <v>5350</v>
      </c>
      <c r="L204" s="19"/>
      <c r="M204" s="19"/>
    </row>
    <row r="205" ht="14.1" customHeight="1" spans="1:13">
      <c r="A205" s="19"/>
      <c r="B205" s="19"/>
      <c r="C205" s="19"/>
      <c r="D205" s="19"/>
      <c r="E205" s="19"/>
      <c r="F205" s="19"/>
      <c r="G205" s="19"/>
      <c r="H205" s="21"/>
      <c r="I205" s="21"/>
      <c r="J205" s="19"/>
      <c r="K205" s="19"/>
      <c r="L205" s="19"/>
      <c r="M205" s="19"/>
    </row>
    <row r="206" ht="14.1" customHeight="1" spans="1:13">
      <c r="A206" s="22">
        <v>605</v>
      </c>
      <c r="B206" s="19"/>
      <c r="C206" s="19" t="s">
        <v>680</v>
      </c>
      <c r="D206" s="19" t="s">
        <v>39</v>
      </c>
      <c r="E206" s="19"/>
      <c r="F206" s="19"/>
      <c r="G206" s="19"/>
      <c r="H206" s="23">
        <v>3655</v>
      </c>
      <c r="I206" s="23">
        <v>4138</v>
      </c>
      <c r="J206" s="24">
        <v>4600</v>
      </c>
      <c r="K206" s="19"/>
      <c r="L206" s="19"/>
      <c r="M206" s="19"/>
    </row>
    <row r="207" ht="14.1" customHeight="1" spans="1:13">
      <c r="A207" s="19"/>
      <c r="B207" s="19"/>
      <c r="C207" s="19"/>
      <c r="D207" s="19"/>
      <c r="E207" s="19"/>
      <c r="F207" s="19"/>
      <c r="G207" s="19"/>
      <c r="H207" s="21"/>
      <c r="I207" s="21"/>
      <c r="J207" s="19"/>
      <c r="K207" s="19"/>
      <c r="L207" s="19"/>
      <c r="M207" s="19"/>
    </row>
    <row r="208" ht="14.1" customHeight="1" spans="1:13">
      <c r="A208" s="22">
        <v>606</v>
      </c>
      <c r="B208" s="19"/>
      <c r="C208" s="19" t="s">
        <v>681</v>
      </c>
      <c r="D208" s="19" t="s">
        <v>39</v>
      </c>
      <c r="E208" s="24">
        <v>2575</v>
      </c>
      <c r="F208" s="24">
        <v>2808</v>
      </c>
      <c r="G208" s="24">
        <v>2863</v>
      </c>
      <c r="H208" s="23">
        <v>3196</v>
      </c>
      <c r="I208" s="23">
        <v>3754</v>
      </c>
      <c r="J208" s="19"/>
      <c r="K208" s="19"/>
      <c r="L208" s="19"/>
      <c r="M208" s="19"/>
    </row>
    <row r="209" ht="14.1" customHeight="1" spans="1:13">
      <c r="A209" s="19"/>
      <c r="B209" s="19"/>
      <c r="C209" s="19"/>
      <c r="D209" s="19"/>
      <c r="E209" s="19"/>
      <c r="F209" s="19"/>
      <c r="G209" s="19"/>
      <c r="H209" s="21"/>
      <c r="I209" s="21"/>
      <c r="J209" s="19"/>
      <c r="K209" s="19"/>
      <c r="L209" s="19"/>
      <c r="M209" s="19"/>
    </row>
    <row r="210" ht="14.1" customHeight="1" spans="1:13">
      <c r="A210" s="22">
        <v>607</v>
      </c>
      <c r="B210" s="19"/>
      <c r="C210" s="19" t="s">
        <v>682</v>
      </c>
      <c r="D210" s="19" t="s">
        <v>39</v>
      </c>
      <c r="E210" s="19"/>
      <c r="F210" s="24">
        <v>4825</v>
      </c>
      <c r="G210" s="24">
        <v>5475</v>
      </c>
      <c r="H210" s="23">
        <v>6275</v>
      </c>
      <c r="I210" s="21"/>
      <c r="J210" s="19"/>
      <c r="K210" s="19"/>
      <c r="L210" s="19"/>
      <c r="M210" s="19"/>
    </row>
    <row r="211" ht="14.1" customHeight="1" spans="1:13">
      <c r="A211" s="19"/>
      <c r="B211" s="19"/>
      <c r="C211" s="19"/>
      <c r="D211" s="19"/>
      <c r="E211" s="19"/>
      <c r="F211" s="19"/>
      <c r="G211" s="19"/>
      <c r="H211" s="21"/>
      <c r="I211" s="21"/>
      <c r="J211" s="19"/>
      <c r="K211" s="19"/>
      <c r="L211" s="19"/>
      <c r="M211" s="19"/>
    </row>
    <row r="212" ht="14.1" customHeight="1" spans="1:13">
      <c r="A212" s="19"/>
      <c r="B212" s="19"/>
      <c r="C212" s="20" t="s">
        <v>535</v>
      </c>
      <c r="D212" s="19"/>
      <c r="E212" s="19"/>
      <c r="F212" s="19"/>
      <c r="G212" s="19"/>
      <c r="H212" s="21"/>
      <c r="I212" s="21"/>
      <c r="J212" s="19"/>
      <c r="K212" s="19"/>
      <c r="L212" s="19"/>
      <c r="M212" s="19"/>
    </row>
    <row r="213" ht="14.1" customHeight="1" spans="1:13">
      <c r="A213" s="22">
        <v>608</v>
      </c>
      <c r="B213" s="19"/>
      <c r="C213" s="19" t="s">
        <v>683</v>
      </c>
      <c r="D213" s="19" t="s">
        <v>39</v>
      </c>
      <c r="E213" s="24">
        <v>2263</v>
      </c>
      <c r="F213" s="24">
        <v>2879</v>
      </c>
      <c r="G213" s="24">
        <v>3335</v>
      </c>
      <c r="H213" s="23">
        <v>3844</v>
      </c>
      <c r="I213" s="21"/>
      <c r="J213" s="19"/>
      <c r="K213" s="19"/>
      <c r="L213" s="19"/>
      <c r="M213" s="19"/>
    </row>
    <row r="214" ht="14.1" customHeight="1" spans="1:13">
      <c r="A214" s="19"/>
      <c r="B214" s="19"/>
      <c r="C214" s="19"/>
      <c r="D214" s="19"/>
      <c r="E214" s="19"/>
      <c r="F214" s="19"/>
      <c r="G214" s="19"/>
      <c r="H214" s="21"/>
      <c r="I214" s="21"/>
      <c r="J214" s="19"/>
      <c r="K214" s="19"/>
      <c r="L214" s="19"/>
      <c r="M214" s="19"/>
    </row>
    <row r="215" ht="14.1" customHeight="1" spans="1:13">
      <c r="A215" s="22">
        <v>609</v>
      </c>
      <c r="B215" s="19"/>
      <c r="C215" s="19" t="s">
        <v>684</v>
      </c>
      <c r="D215" s="19" t="s">
        <v>39</v>
      </c>
      <c r="E215" s="24">
        <v>2628</v>
      </c>
      <c r="F215" s="24">
        <v>3850</v>
      </c>
      <c r="G215" s="24">
        <v>4150</v>
      </c>
      <c r="H215" s="23">
        <v>4563</v>
      </c>
      <c r="I215" s="23">
        <v>5358</v>
      </c>
      <c r="J215" s="24">
        <v>6450</v>
      </c>
      <c r="K215" s="24">
        <v>8188</v>
      </c>
      <c r="L215" s="19"/>
      <c r="M215" s="24">
        <v>21450</v>
      </c>
    </row>
    <row r="216" ht="14.1" customHeight="1" spans="1:13">
      <c r="A216" s="19"/>
      <c r="B216" s="19"/>
      <c r="C216" s="19"/>
      <c r="D216" s="19"/>
      <c r="E216" s="19"/>
      <c r="F216" s="19"/>
      <c r="G216" s="19"/>
      <c r="H216" s="21"/>
      <c r="I216" s="21"/>
      <c r="J216" s="19"/>
      <c r="K216" s="19"/>
      <c r="L216" s="19"/>
      <c r="M216" s="19"/>
    </row>
    <row r="217" ht="14.1" customHeight="1" spans="1:13">
      <c r="A217" s="22">
        <v>610</v>
      </c>
      <c r="B217" s="19"/>
      <c r="C217" s="19" t="s">
        <v>685</v>
      </c>
      <c r="D217" s="19" t="s">
        <v>39</v>
      </c>
      <c r="E217" s="19"/>
      <c r="F217" s="24">
        <v>4138</v>
      </c>
      <c r="G217" s="24">
        <v>4288</v>
      </c>
      <c r="H217" s="23">
        <v>4725</v>
      </c>
      <c r="I217" s="23">
        <v>5706</v>
      </c>
      <c r="J217" s="24">
        <v>6957</v>
      </c>
      <c r="K217" s="24">
        <v>9013</v>
      </c>
      <c r="L217" s="24">
        <v>11905</v>
      </c>
      <c r="M217" s="24">
        <v>13691</v>
      </c>
    </row>
    <row r="218" ht="14.1" customHeight="1" spans="1:13">
      <c r="A218" s="19"/>
      <c r="B218" s="19"/>
      <c r="C218" s="19"/>
      <c r="D218" s="19"/>
      <c r="E218" s="19"/>
      <c r="F218" s="19"/>
      <c r="G218" s="19"/>
      <c r="H218" s="21"/>
      <c r="I218" s="21"/>
      <c r="J218" s="19"/>
      <c r="K218" s="19"/>
      <c r="L218" s="19"/>
      <c r="M218" s="19"/>
    </row>
    <row r="219" ht="14.1" customHeight="1" spans="1:13">
      <c r="A219" s="22">
        <v>611</v>
      </c>
      <c r="B219" s="19"/>
      <c r="C219" s="19" t="s">
        <v>538</v>
      </c>
      <c r="D219" s="19" t="s">
        <v>39</v>
      </c>
      <c r="E219" s="19"/>
      <c r="F219" s="19"/>
      <c r="G219" s="19"/>
      <c r="H219" s="21"/>
      <c r="I219" s="23">
        <v>5935</v>
      </c>
      <c r="J219" s="24">
        <v>6845</v>
      </c>
      <c r="K219" s="24">
        <v>7750</v>
      </c>
      <c r="L219" s="24">
        <v>8885</v>
      </c>
      <c r="M219" s="24">
        <v>10218</v>
      </c>
    </row>
    <row r="220" ht="14.1" customHeight="1" spans="1:13">
      <c r="A220" s="19"/>
      <c r="B220" s="19"/>
      <c r="C220" s="19"/>
      <c r="D220" s="19"/>
      <c r="E220" s="19"/>
      <c r="F220" s="19"/>
      <c r="G220" s="19"/>
      <c r="H220" s="21"/>
      <c r="I220" s="21"/>
      <c r="J220" s="19"/>
      <c r="K220" s="19"/>
      <c r="L220" s="19"/>
      <c r="M220" s="19"/>
    </row>
    <row r="221" ht="14.1" customHeight="1" spans="1:13">
      <c r="A221" s="22">
        <v>612</v>
      </c>
      <c r="B221" s="19"/>
      <c r="C221" s="19" t="s">
        <v>686</v>
      </c>
      <c r="D221" s="19" t="s">
        <v>39</v>
      </c>
      <c r="E221" s="24">
        <v>5713</v>
      </c>
      <c r="F221" s="24">
        <v>6163</v>
      </c>
      <c r="G221" s="24">
        <v>6888</v>
      </c>
      <c r="H221" s="23">
        <v>7538</v>
      </c>
      <c r="I221" s="23">
        <v>8242</v>
      </c>
      <c r="J221" s="24">
        <v>9794</v>
      </c>
      <c r="K221" s="24">
        <v>11085</v>
      </c>
      <c r="L221" s="24">
        <v>12710</v>
      </c>
      <c r="M221" s="24">
        <v>14617</v>
      </c>
    </row>
    <row r="222" ht="14.1" customHeight="1" spans="1:13">
      <c r="A222" s="19"/>
      <c r="B222" s="19"/>
      <c r="C222" s="19"/>
      <c r="D222" s="19"/>
      <c r="E222" s="19"/>
      <c r="F222" s="19"/>
      <c r="G222" s="19"/>
      <c r="H222" s="21"/>
      <c r="I222" s="21"/>
      <c r="J222" s="19"/>
      <c r="K222" s="19"/>
      <c r="L222" s="19"/>
      <c r="M222" s="19"/>
    </row>
    <row r="223" ht="14.1" customHeight="1" spans="1:13">
      <c r="A223" s="19"/>
      <c r="B223" s="19"/>
      <c r="C223" s="20" t="s">
        <v>48</v>
      </c>
      <c r="D223" s="19"/>
      <c r="E223" s="19"/>
      <c r="F223" s="19"/>
      <c r="G223" s="19"/>
      <c r="H223" s="21"/>
      <c r="I223" s="21"/>
      <c r="J223" s="19"/>
      <c r="K223" s="19"/>
      <c r="L223" s="19"/>
      <c r="M223" s="19"/>
    </row>
    <row r="224" ht="14.1" customHeight="1" spans="1:13">
      <c r="A224" s="22">
        <v>613</v>
      </c>
      <c r="B224" s="19"/>
      <c r="C224" s="19" t="s">
        <v>687</v>
      </c>
      <c r="D224" s="19" t="s">
        <v>39</v>
      </c>
      <c r="E224" s="19"/>
      <c r="F224" s="19"/>
      <c r="G224" s="19"/>
      <c r="H224" s="21"/>
      <c r="I224" s="23">
        <v>2950</v>
      </c>
      <c r="J224" s="24">
        <v>3650</v>
      </c>
      <c r="K224" s="24">
        <v>4413</v>
      </c>
      <c r="L224" s="24">
        <v>5600</v>
      </c>
      <c r="M224" s="24">
        <v>6440</v>
      </c>
    </row>
    <row r="225" ht="14.1" customHeight="1" spans="1:13">
      <c r="A225" s="19"/>
      <c r="B225" s="19"/>
      <c r="C225" s="19"/>
      <c r="D225" s="19"/>
      <c r="E225" s="19"/>
      <c r="F225" s="19"/>
      <c r="G225" s="19"/>
      <c r="H225" s="21"/>
      <c r="I225" s="21"/>
      <c r="J225" s="19"/>
      <c r="K225" s="19"/>
      <c r="L225" s="19"/>
      <c r="M225" s="19"/>
    </row>
    <row r="226" ht="14.1" customHeight="1" spans="1:13">
      <c r="A226" s="22">
        <v>614</v>
      </c>
      <c r="B226" s="19"/>
      <c r="C226" s="19" t="s">
        <v>688</v>
      </c>
      <c r="D226" s="19" t="s">
        <v>39</v>
      </c>
      <c r="E226" s="19"/>
      <c r="F226" s="19"/>
      <c r="G226" s="19"/>
      <c r="H226" s="21"/>
      <c r="I226" s="21"/>
      <c r="J226" s="24">
        <v>5150</v>
      </c>
      <c r="K226" s="24">
        <v>6113</v>
      </c>
      <c r="L226" s="24">
        <v>7725</v>
      </c>
      <c r="M226" s="24">
        <v>8884</v>
      </c>
    </row>
    <row r="227" ht="14.1" customHeight="1" spans="1:13">
      <c r="A227" s="19"/>
      <c r="B227" s="19"/>
      <c r="C227" s="19"/>
      <c r="D227" s="19"/>
      <c r="E227" s="19"/>
      <c r="F227" s="19"/>
      <c r="G227" s="19"/>
      <c r="H227" s="21"/>
      <c r="I227" s="21"/>
      <c r="J227" s="19"/>
      <c r="K227" s="19"/>
      <c r="L227" s="19"/>
      <c r="M227" s="19"/>
    </row>
    <row r="228" ht="14.1" customHeight="1" spans="1:13">
      <c r="A228" s="19"/>
      <c r="B228" s="19"/>
      <c r="C228" s="20" t="s">
        <v>545</v>
      </c>
      <c r="D228" s="19"/>
      <c r="E228" s="19"/>
      <c r="F228" s="19"/>
      <c r="G228" s="19"/>
      <c r="H228" s="21"/>
      <c r="I228" s="21"/>
      <c r="J228" s="19"/>
      <c r="K228" s="19"/>
      <c r="L228" s="19"/>
      <c r="M228" s="19"/>
    </row>
    <row r="229" ht="14.1" customHeight="1" spans="1:13">
      <c r="A229" s="22">
        <v>615</v>
      </c>
      <c r="B229" s="19"/>
      <c r="C229" s="19" t="s">
        <v>689</v>
      </c>
      <c r="D229" s="19" t="s">
        <v>39</v>
      </c>
      <c r="E229" s="19"/>
      <c r="F229" s="24">
        <v>3300</v>
      </c>
      <c r="G229" s="19"/>
      <c r="H229" s="23">
        <v>4350</v>
      </c>
      <c r="I229" s="23">
        <v>5463</v>
      </c>
      <c r="J229" s="24">
        <v>7217</v>
      </c>
      <c r="K229" s="24">
        <v>8458</v>
      </c>
      <c r="L229" s="19"/>
      <c r="M229" s="19"/>
    </row>
    <row r="230" ht="14.1" customHeight="1" spans="1:13">
      <c r="A230" s="19"/>
      <c r="B230" s="19"/>
      <c r="C230" s="19"/>
      <c r="D230" s="19"/>
      <c r="E230" s="19"/>
      <c r="F230" s="19"/>
      <c r="G230" s="19"/>
      <c r="H230" s="21"/>
      <c r="I230" s="21"/>
      <c r="J230" s="19"/>
      <c r="K230" s="19"/>
      <c r="L230" s="19"/>
      <c r="M230" s="19"/>
    </row>
    <row r="231" ht="14.1" customHeight="1" spans="1:13">
      <c r="A231" s="22">
        <v>616</v>
      </c>
      <c r="B231" s="19"/>
      <c r="C231" s="19" t="s">
        <v>690</v>
      </c>
      <c r="D231" s="19" t="s">
        <v>39</v>
      </c>
      <c r="E231" s="19"/>
      <c r="F231" s="19"/>
      <c r="G231" s="19"/>
      <c r="H231" s="21"/>
      <c r="I231" s="21"/>
      <c r="J231" s="19"/>
      <c r="K231" s="19"/>
      <c r="L231" s="19"/>
      <c r="M231" s="24">
        <v>19667</v>
      </c>
    </row>
    <row r="232" ht="14.1" customHeight="1" spans="1:13">
      <c r="A232" s="19"/>
      <c r="B232" s="19"/>
      <c r="C232" s="19"/>
      <c r="D232" s="19"/>
      <c r="E232" s="19"/>
      <c r="F232" s="19"/>
      <c r="G232" s="19"/>
      <c r="H232" s="21"/>
      <c r="I232" s="21"/>
      <c r="J232" s="19"/>
      <c r="K232" s="19"/>
      <c r="L232" s="19"/>
      <c r="M232" s="19"/>
    </row>
    <row r="233" ht="14.1" customHeight="1" spans="1:13">
      <c r="A233" s="22">
        <v>617</v>
      </c>
      <c r="B233" s="19"/>
      <c r="C233" s="19" t="s">
        <v>691</v>
      </c>
      <c r="D233" s="19" t="s">
        <v>39</v>
      </c>
      <c r="E233" s="19"/>
      <c r="F233" s="19"/>
      <c r="G233" s="19"/>
      <c r="H233" s="21"/>
      <c r="I233" s="21"/>
      <c r="J233" s="19"/>
      <c r="K233" s="19"/>
      <c r="L233" s="24">
        <v>22375</v>
      </c>
      <c r="M233" s="19"/>
    </row>
    <row r="234" ht="14.1" customHeight="1" spans="1:13">
      <c r="A234" s="19"/>
      <c r="B234" s="19"/>
      <c r="C234" s="19"/>
      <c r="D234" s="19"/>
      <c r="E234" s="19"/>
      <c r="F234" s="19"/>
      <c r="G234" s="19"/>
      <c r="H234" s="21"/>
      <c r="I234" s="21"/>
      <c r="J234" s="19"/>
      <c r="K234" s="19"/>
      <c r="L234" s="19"/>
      <c r="M234" s="19"/>
    </row>
    <row r="235" ht="14.1" customHeight="1" spans="1:13">
      <c r="A235" s="22">
        <v>618</v>
      </c>
      <c r="B235" s="19"/>
      <c r="C235" s="19" t="s">
        <v>692</v>
      </c>
      <c r="D235" s="19" t="s">
        <v>39</v>
      </c>
      <c r="E235" s="19"/>
      <c r="F235" s="19"/>
      <c r="G235" s="19"/>
      <c r="H235" s="21"/>
      <c r="I235" s="21"/>
      <c r="J235" s="19"/>
      <c r="K235" s="19"/>
      <c r="L235" s="24">
        <v>26500</v>
      </c>
      <c r="M235" s="19"/>
    </row>
    <row r="236" ht="14.1" customHeight="1" spans="1:13">
      <c r="A236" s="19"/>
      <c r="B236" s="19"/>
      <c r="C236" s="19"/>
      <c r="D236" s="19"/>
      <c r="E236" s="19"/>
      <c r="F236" s="19"/>
      <c r="G236" s="19"/>
      <c r="H236" s="21"/>
      <c r="I236" s="21"/>
      <c r="J236" s="19"/>
      <c r="K236" s="19"/>
      <c r="L236" s="19"/>
      <c r="M236" s="19"/>
    </row>
    <row r="237" ht="14.1" customHeight="1" spans="1:13">
      <c r="A237" s="22">
        <v>619</v>
      </c>
      <c r="B237" s="19"/>
      <c r="C237" s="19" t="s">
        <v>693</v>
      </c>
      <c r="D237" s="19" t="s">
        <v>39</v>
      </c>
      <c r="E237" s="19"/>
      <c r="F237" s="19"/>
      <c r="G237" s="19"/>
      <c r="H237" s="21"/>
      <c r="I237" s="21"/>
      <c r="J237" s="19"/>
      <c r="K237" s="19"/>
      <c r="L237" s="19"/>
      <c r="M237" s="24">
        <v>32317</v>
      </c>
    </row>
    <row r="238" ht="14.1" customHeight="1" spans="1:13">
      <c r="A238" s="19"/>
      <c r="B238" s="19"/>
      <c r="C238" s="19"/>
      <c r="D238" s="19"/>
      <c r="E238" s="19"/>
      <c r="F238" s="19"/>
      <c r="G238" s="19"/>
      <c r="H238" s="21"/>
      <c r="I238" s="21"/>
      <c r="J238" s="19"/>
      <c r="K238" s="19"/>
      <c r="L238" s="19"/>
      <c r="M238" s="19"/>
    </row>
    <row r="239" ht="14.1" customHeight="1" spans="1:13">
      <c r="A239" s="22">
        <v>620</v>
      </c>
      <c r="B239" s="19"/>
      <c r="C239" s="19" t="s">
        <v>694</v>
      </c>
      <c r="D239" s="19" t="s">
        <v>39</v>
      </c>
      <c r="E239" s="24">
        <v>3700</v>
      </c>
      <c r="F239" s="24">
        <v>4400</v>
      </c>
      <c r="G239" s="24">
        <v>4925</v>
      </c>
      <c r="H239" s="23">
        <v>5813</v>
      </c>
      <c r="I239" s="23">
        <v>6900</v>
      </c>
      <c r="J239" s="24">
        <v>15275</v>
      </c>
      <c r="K239" s="24">
        <v>18400</v>
      </c>
      <c r="L239" s="24">
        <v>22700</v>
      </c>
      <c r="M239" s="24">
        <v>26105</v>
      </c>
    </row>
    <row r="240" ht="14.1" customHeight="1" spans="1:13">
      <c r="A240" s="19"/>
      <c r="B240" s="19"/>
      <c r="C240" s="19"/>
      <c r="D240" s="19"/>
      <c r="E240" s="19"/>
      <c r="F240" s="19"/>
      <c r="G240" s="19"/>
      <c r="H240" s="21"/>
      <c r="I240" s="21"/>
      <c r="J240" s="19"/>
      <c r="K240" s="19"/>
      <c r="L240" s="19"/>
      <c r="M240" s="19"/>
    </row>
    <row r="241" ht="14.1" customHeight="1" spans="1:13">
      <c r="A241" s="19"/>
      <c r="B241" s="19"/>
      <c r="C241" s="20" t="s">
        <v>248</v>
      </c>
      <c r="D241" s="19"/>
      <c r="E241" s="19"/>
      <c r="F241" s="19"/>
      <c r="G241" s="19"/>
      <c r="H241" s="21"/>
      <c r="I241" s="21"/>
      <c r="J241" s="19"/>
      <c r="K241" s="19"/>
      <c r="L241" s="19"/>
      <c r="M241" s="19"/>
    </row>
    <row r="242" ht="14.1" customHeight="1" spans="1:13">
      <c r="A242" s="22">
        <v>621</v>
      </c>
      <c r="B242" s="19"/>
      <c r="C242" s="19" t="s">
        <v>695</v>
      </c>
      <c r="D242" s="19" t="s">
        <v>39</v>
      </c>
      <c r="E242" s="19"/>
      <c r="F242" s="19"/>
      <c r="G242" s="19"/>
      <c r="H242" s="21"/>
      <c r="I242" s="21"/>
      <c r="J242" s="19"/>
      <c r="K242" s="19"/>
      <c r="L242" s="19"/>
      <c r="M242" s="24">
        <v>34563</v>
      </c>
    </row>
    <row r="243" ht="14.1" customHeight="1" spans="1:13">
      <c r="A243" s="19"/>
      <c r="B243" s="19"/>
      <c r="C243" s="19"/>
      <c r="D243" s="19"/>
      <c r="E243" s="19"/>
      <c r="F243" s="19"/>
      <c r="G243" s="19"/>
      <c r="H243" s="21"/>
      <c r="I243" s="21"/>
      <c r="J243" s="19"/>
      <c r="K243" s="19"/>
      <c r="L243" s="19"/>
      <c r="M243" s="19"/>
    </row>
    <row r="244" ht="14.1" customHeight="1" spans="1:13">
      <c r="A244" s="22">
        <v>622</v>
      </c>
      <c r="B244" s="19"/>
      <c r="C244" s="19" t="s">
        <v>696</v>
      </c>
      <c r="D244" s="19" t="s">
        <v>39</v>
      </c>
      <c r="E244" s="19"/>
      <c r="F244" s="19"/>
      <c r="G244" s="19"/>
      <c r="H244" s="21"/>
      <c r="I244" s="21"/>
      <c r="J244" s="24">
        <v>17125</v>
      </c>
      <c r="K244" s="24">
        <v>19075</v>
      </c>
      <c r="L244" s="24">
        <v>22650</v>
      </c>
      <c r="M244" s="19"/>
    </row>
    <row r="245" ht="14.1" customHeight="1" spans="1:13">
      <c r="A245" s="19"/>
      <c r="B245" s="19"/>
      <c r="C245" s="19"/>
      <c r="D245" s="19"/>
      <c r="E245" s="19"/>
      <c r="F245" s="19"/>
      <c r="G245" s="19"/>
      <c r="H245" s="21"/>
      <c r="I245" s="21"/>
      <c r="J245" s="19"/>
      <c r="K245" s="19"/>
      <c r="L245" s="19"/>
      <c r="M245" s="19"/>
    </row>
    <row r="246" ht="14.1" customHeight="1" spans="1:13">
      <c r="A246" s="22">
        <v>623</v>
      </c>
      <c r="B246" s="19"/>
      <c r="C246" s="19" t="s">
        <v>697</v>
      </c>
      <c r="D246" s="19" t="s">
        <v>39</v>
      </c>
      <c r="E246" s="24">
        <v>12825</v>
      </c>
      <c r="F246" s="24">
        <v>13775</v>
      </c>
      <c r="G246" s="24">
        <v>15450</v>
      </c>
      <c r="H246" s="23">
        <v>16750</v>
      </c>
      <c r="I246" s="23">
        <v>18450</v>
      </c>
      <c r="J246" s="24">
        <v>23825</v>
      </c>
      <c r="K246" s="24">
        <v>26750</v>
      </c>
      <c r="L246" s="24">
        <v>29050</v>
      </c>
      <c r="M246" s="19"/>
    </row>
    <row r="247" ht="14.1" customHeight="1" spans="1:13">
      <c r="A247" s="19"/>
      <c r="B247" s="19"/>
      <c r="C247" s="19"/>
      <c r="D247" s="19"/>
      <c r="E247" s="19"/>
      <c r="F247" s="19"/>
      <c r="G247" s="19"/>
      <c r="H247" s="21"/>
      <c r="I247" s="21"/>
      <c r="J247" s="19"/>
      <c r="K247" s="19"/>
      <c r="L247" s="19"/>
      <c r="M247" s="19"/>
    </row>
    <row r="248" ht="14.1" customHeight="1" spans="1:13">
      <c r="A248" s="22">
        <v>624</v>
      </c>
      <c r="B248" s="19"/>
      <c r="C248" s="19" t="s">
        <v>698</v>
      </c>
      <c r="D248" s="19" t="s">
        <v>39</v>
      </c>
      <c r="E248" s="19"/>
      <c r="F248" s="19"/>
      <c r="G248" s="19"/>
      <c r="H248" s="21"/>
      <c r="I248" s="21"/>
      <c r="J248" s="19"/>
      <c r="K248" s="19"/>
      <c r="L248" s="19"/>
      <c r="M248" s="24">
        <v>49950</v>
      </c>
    </row>
    <row r="249" ht="14.1" customHeight="1" spans="1:13">
      <c r="A249" s="19"/>
      <c r="B249" s="19"/>
      <c r="C249" s="19"/>
      <c r="D249" s="19"/>
      <c r="E249" s="19"/>
      <c r="F249" s="19"/>
      <c r="G249" s="19"/>
      <c r="H249" s="21"/>
      <c r="I249" s="21"/>
      <c r="J249" s="19"/>
      <c r="K249" s="19"/>
      <c r="L249" s="19"/>
      <c r="M249" s="19"/>
    </row>
    <row r="250" ht="14.1" customHeight="1" spans="1:13">
      <c r="A250" s="22">
        <v>625</v>
      </c>
      <c r="B250" s="19"/>
      <c r="C250" s="19" t="s">
        <v>699</v>
      </c>
      <c r="D250" s="19" t="s">
        <v>39</v>
      </c>
      <c r="E250" s="19"/>
      <c r="F250" s="19"/>
      <c r="G250" s="19"/>
      <c r="H250" s="21"/>
      <c r="I250" s="21"/>
      <c r="J250" s="19"/>
      <c r="K250" s="19"/>
      <c r="L250" s="19"/>
      <c r="M250" s="24">
        <v>24888</v>
      </c>
    </row>
    <row r="251" ht="14.1" customHeight="1" spans="1:13">
      <c r="A251" s="19"/>
      <c r="B251" s="19"/>
      <c r="C251" s="19"/>
      <c r="D251" s="19"/>
      <c r="E251" s="19"/>
      <c r="F251" s="19"/>
      <c r="G251" s="19"/>
      <c r="H251" s="21"/>
      <c r="I251" s="21"/>
      <c r="J251" s="19"/>
      <c r="K251" s="19"/>
      <c r="L251" s="19"/>
      <c r="M251" s="19"/>
    </row>
    <row r="252" ht="14.1" customHeight="1" spans="1:13">
      <c r="A252" s="22">
        <v>626</v>
      </c>
      <c r="B252" s="19"/>
      <c r="C252" s="19" t="s">
        <v>700</v>
      </c>
      <c r="D252" s="19" t="s">
        <v>39</v>
      </c>
      <c r="E252" s="19"/>
      <c r="F252" s="19"/>
      <c r="G252" s="19"/>
      <c r="H252" s="21"/>
      <c r="I252" s="21"/>
      <c r="J252" s="19"/>
      <c r="K252" s="19"/>
      <c r="L252" s="19"/>
      <c r="M252" s="24">
        <v>28750</v>
      </c>
    </row>
    <row r="253" ht="14.1" customHeight="1" spans="1:13">
      <c r="A253" s="19"/>
      <c r="B253" s="19"/>
      <c r="C253" s="19"/>
      <c r="D253" s="19"/>
      <c r="E253" s="19"/>
      <c r="F253" s="19"/>
      <c r="G253" s="19"/>
      <c r="H253" s="21"/>
      <c r="I253" s="21"/>
      <c r="J253" s="19"/>
      <c r="K253" s="19"/>
      <c r="L253" s="19"/>
      <c r="M253" s="19"/>
    </row>
    <row r="254" ht="14.1" customHeight="1" spans="1:13">
      <c r="A254" s="19"/>
      <c r="B254" s="19"/>
      <c r="C254" s="20" t="s">
        <v>255</v>
      </c>
      <c r="D254" s="19"/>
      <c r="E254" s="19"/>
      <c r="F254" s="19"/>
      <c r="G254" s="19"/>
      <c r="H254" s="21"/>
      <c r="I254" s="21"/>
      <c r="J254" s="19"/>
      <c r="K254" s="19"/>
      <c r="L254" s="19"/>
      <c r="M254" s="19"/>
    </row>
    <row r="255" ht="14.1" customHeight="1" spans="1:13">
      <c r="A255" s="22">
        <v>627</v>
      </c>
      <c r="B255" s="19"/>
      <c r="C255" s="19" t="s">
        <v>701</v>
      </c>
      <c r="D255" s="19" t="s">
        <v>39</v>
      </c>
      <c r="E255" s="19"/>
      <c r="F255" s="19"/>
      <c r="G255" s="19"/>
      <c r="H255" s="21"/>
      <c r="I255" s="21"/>
      <c r="J255" s="24">
        <v>8606</v>
      </c>
      <c r="K255" s="24">
        <v>9663</v>
      </c>
      <c r="L255" s="24">
        <v>11038</v>
      </c>
      <c r="M255" s="19"/>
    </row>
    <row r="256" ht="14.1" customHeight="1" spans="1:13">
      <c r="A256" s="19"/>
      <c r="B256" s="19"/>
      <c r="C256" s="19"/>
      <c r="D256" s="19"/>
      <c r="E256" s="19"/>
      <c r="F256" s="19"/>
      <c r="G256" s="19"/>
      <c r="H256" s="21"/>
      <c r="I256" s="21"/>
      <c r="J256" s="19"/>
      <c r="K256" s="19"/>
      <c r="L256" s="19"/>
      <c r="M256" s="19"/>
    </row>
    <row r="257" ht="14.1" customHeight="1" spans="1:13">
      <c r="A257" s="22">
        <v>628</v>
      </c>
      <c r="B257" s="19"/>
      <c r="C257" s="19" t="s">
        <v>702</v>
      </c>
      <c r="D257" s="19" t="s">
        <v>39</v>
      </c>
      <c r="E257" s="19"/>
      <c r="F257" s="19"/>
      <c r="G257" s="19"/>
      <c r="H257" s="21"/>
      <c r="I257" s="21"/>
      <c r="J257" s="19"/>
      <c r="K257" s="19"/>
      <c r="L257" s="19"/>
      <c r="M257" s="24">
        <v>19996</v>
      </c>
    </row>
    <row r="258" ht="14.1" customHeight="1" spans="1:13">
      <c r="A258" s="19"/>
      <c r="B258" s="19"/>
      <c r="C258" s="19"/>
      <c r="D258" s="19"/>
      <c r="E258" s="19"/>
      <c r="F258" s="19"/>
      <c r="G258" s="19"/>
      <c r="H258" s="21"/>
      <c r="I258" s="21"/>
      <c r="J258" s="19"/>
      <c r="K258" s="19"/>
      <c r="L258" s="19"/>
      <c r="M258" s="19"/>
    </row>
    <row r="259" ht="14.1" customHeight="1" spans="1:13">
      <c r="A259" s="22">
        <v>629</v>
      </c>
      <c r="B259" s="19"/>
      <c r="C259" s="19" t="s">
        <v>703</v>
      </c>
      <c r="D259" s="19" t="s">
        <v>39</v>
      </c>
      <c r="E259" s="19"/>
      <c r="F259" s="24">
        <v>5088</v>
      </c>
      <c r="G259" s="24">
        <v>5638</v>
      </c>
      <c r="H259" s="23">
        <v>5975</v>
      </c>
      <c r="I259" s="23">
        <v>7550</v>
      </c>
      <c r="J259" s="24">
        <v>11713</v>
      </c>
      <c r="K259" s="24">
        <v>14763</v>
      </c>
      <c r="L259" s="24">
        <v>18825</v>
      </c>
      <c r="M259" s="24">
        <v>21649</v>
      </c>
    </row>
    <row r="260" ht="14.1" customHeight="1" spans="1:13">
      <c r="A260" s="19"/>
      <c r="B260" s="19"/>
      <c r="C260" s="19"/>
      <c r="D260" s="19"/>
      <c r="E260" s="19"/>
      <c r="F260" s="19"/>
      <c r="G260" s="19"/>
      <c r="H260" s="21"/>
      <c r="I260" s="21"/>
      <c r="J260" s="19"/>
      <c r="K260" s="19"/>
      <c r="L260" s="19"/>
      <c r="M260" s="19"/>
    </row>
    <row r="261" ht="14.1" customHeight="1" spans="1:13">
      <c r="A261" s="22">
        <v>630</v>
      </c>
      <c r="B261" s="19"/>
      <c r="C261" s="19" t="s">
        <v>704</v>
      </c>
      <c r="D261" s="19" t="s">
        <v>39</v>
      </c>
      <c r="E261" s="19"/>
      <c r="F261" s="19"/>
      <c r="G261" s="19"/>
      <c r="H261" s="21"/>
      <c r="I261" s="21"/>
      <c r="J261" s="19"/>
      <c r="K261" s="19"/>
      <c r="L261" s="19"/>
      <c r="M261" s="24">
        <v>28738</v>
      </c>
    </row>
    <row r="262" ht="14.1" customHeight="1" spans="1:13">
      <c r="A262" s="19"/>
      <c r="B262" s="19"/>
      <c r="C262" s="19"/>
      <c r="D262" s="19"/>
      <c r="E262" s="19"/>
      <c r="F262" s="19"/>
      <c r="G262" s="19"/>
      <c r="H262" s="21"/>
      <c r="I262" s="21"/>
      <c r="J262" s="19"/>
      <c r="K262" s="19"/>
      <c r="L262" s="19"/>
      <c r="M262" s="19"/>
    </row>
    <row r="263" ht="14.1" customHeight="1" spans="1:13">
      <c r="A263" s="19"/>
      <c r="B263" s="19"/>
      <c r="C263" s="20" t="s">
        <v>50</v>
      </c>
      <c r="D263" s="19"/>
      <c r="E263" s="19"/>
      <c r="F263" s="19"/>
      <c r="G263" s="19"/>
      <c r="H263" s="21"/>
      <c r="I263" s="21"/>
      <c r="J263" s="19"/>
      <c r="K263" s="19"/>
      <c r="L263" s="19"/>
      <c r="M263" s="19"/>
    </row>
    <row r="264" ht="14.1" customHeight="1" spans="1:13">
      <c r="A264" s="22">
        <v>631</v>
      </c>
      <c r="B264" s="19"/>
      <c r="C264" s="19" t="s">
        <v>705</v>
      </c>
      <c r="D264" s="19" t="s">
        <v>39</v>
      </c>
      <c r="E264" s="19"/>
      <c r="F264" s="19"/>
      <c r="G264" s="19"/>
      <c r="H264" s="21"/>
      <c r="I264" s="21"/>
      <c r="J264" s="19"/>
      <c r="K264" s="19"/>
      <c r="L264" s="19"/>
      <c r="M264" s="24">
        <v>16383</v>
      </c>
    </row>
    <row r="265" ht="14.1" customHeight="1" spans="1:13">
      <c r="A265" s="19"/>
      <c r="B265" s="19"/>
      <c r="C265" s="19"/>
      <c r="D265" s="19"/>
      <c r="E265" s="19"/>
      <c r="F265" s="19"/>
      <c r="G265" s="19"/>
      <c r="H265" s="21"/>
      <c r="I265" s="21"/>
      <c r="J265" s="19"/>
      <c r="K265" s="19"/>
      <c r="L265" s="19"/>
      <c r="M265" s="19"/>
    </row>
    <row r="266" ht="14.1" customHeight="1" spans="1:13">
      <c r="A266" s="19"/>
      <c r="B266" s="19"/>
      <c r="C266" s="20" t="s">
        <v>265</v>
      </c>
      <c r="D266" s="19"/>
      <c r="E266" s="19"/>
      <c r="F266" s="19"/>
      <c r="G266" s="19"/>
      <c r="H266" s="21"/>
      <c r="I266" s="21"/>
      <c r="J266" s="19"/>
      <c r="K266" s="19"/>
      <c r="L266" s="19"/>
      <c r="M266" s="19"/>
    </row>
    <row r="267" ht="14.1" customHeight="1" spans="1:13">
      <c r="A267" s="22">
        <v>632</v>
      </c>
      <c r="B267" s="19"/>
      <c r="C267" s="19" t="s">
        <v>706</v>
      </c>
      <c r="D267" s="19" t="s">
        <v>39</v>
      </c>
      <c r="E267" s="19"/>
      <c r="F267" s="19"/>
      <c r="G267" s="19"/>
      <c r="H267" s="21"/>
      <c r="I267" s="21"/>
      <c r="J267" s="19"/>
      <c r="K267" s="19"/>
      <c r="L267" s="19"/>
      <c r="M267" s="24">
        <v>33533</v>
      </c>
    </row>
    <row r="268" ht="14.1" customHeight="1" spans="1:13">
      <c r="A268" s="19"/>
      <c r="B268" s="19"/>
      <c r="C268" s="19"/>
      <c r="D268" s="19"/>
      <c r="E268" s="19"/>
      <c r="F268" s="19"/>
      <c r="G268" s="19"/>
      <c r="H268" s="21"/>
      <c r="I268" s="21"/>
      <c r="J268" s="19"/>
      <c r="K268" s="19"/>
      <c r="L268" s="19"/>
      <c r="M268" s="19"/>
    </row>
    <row r="269" ht="14.1" customHeight="1" spans="1:13">
      <c r="A269" s="22">
        <v>633</v>
      </c>
      <c r="B269" s="19"/>
      <c r="C269" s="19" t="s">
        <v>707</v>
      </c>
      <c r="D269" s="19" t="s">
        <v>39</v>
      </c>
      <c r="E269" s="19"/>
      <c r="F269" s="19"/>
      <c r="G269" s="19"/>
      <c r="H269" s="21"/>
      <c r="I269" s="21"/>
      <c r="J269" s="19"/>
      <c r="K269" s="19"/>
      <c r="L269" s="19"/>
      <c r="M269" s="24">
        <v>24742</v>
      </c>
    </row>
    <row r="270" ht="14.1" customHeight="1" spans="1:13">
      <c r="A270" s="19"/>
      <c r="B270" s="19"/>
      <c r="C270" s="19"/>
      <c r="D270" s="19"/>
      <c r="E270" s="19"/>
      <c r="F270" s="19"/>
      <c r="G270" s="19"/>
      <c r="H270" s="21"/>
      <c r="I270" s="21"/>
      <c r="J270" s="19"/>
      <c r="K270" s="19"/>
      <c r="L270" s="19"/>
      <c r="M270" s="19"/>
    </row>
    <row r="271" ht="14.1" customHeight="1" spans="1:13">
      <c r="A271" s="22">
        <v>634</v>
      </c>
      <c r="B271" s="19"/>
      <c r="C271" s="19" t="s">
        <v>708</v>
      </c>
      <c r="D271" s="19" t="s">
        <v>39</v>
      </c>
      <c r="E271" s="24">
        <v>5375</v>
      </c>
      <c r="F271" s="24">
        <v>6025</v>
      </c>
      <c r="G271" s="24">
        <v>6875</v>
      </c>
      <c r="H271" s="23">
        <v>7750</v>
      </c>
      <c r="I271" s="23">
        <v>9138</v>
      </c>
      <c r="J271" s="24">
        <v>10858</v>
      </c>
      <c r="K271" s="24">
        <v>13025</v>
      </c>
      <c r="L271" s="24">
        <v>15675</v>
      </c>
      <c r="M271" s="19"/>
    </row>
    <row r="272" ht="14.1" customHeight="1" spans="1:13">
      <c r="A272" s="19"/>
      <c r="B272" s="19"/>
      <c r="C272" s="19"/>
      <c r="D272" s="19"/>
      <c r="E272" s="19"/>
      <c r="F272" s="19"/>
      <c r="G272" s="19"/>
      <c r="H272" s="21"/>
      <c r="I272" s="21"/>
      <c r="J272" s="19"/>
      <c r="K272" s="19"/>
      <c r="L272" s="19"/>
      <c r="M272" s="19"/>
    </row>
    <row r="273" ht="14.1" customHeight="1" spans="1:13">
      <c r="A273" s="22">
        <v>635</v>
      </c>
      <c r="B273" s="19"/>
      <c r="C273" s="19" t="s">
        <v>709</v>
      </c>
      <c r="D273" s="19" t="s">
        <v>39</v>
      </c>
      <c r="E273" s="19"/>
      <c r="F273" s="19"/>
      <c r="G273" s="24">
        <v>9075</v>
      </c>
      <c r="H273" s="23">
        <v>10450</v>
      </c>
      <c r="I273" s="23">
        <v>12275</v>
      </c>
      <c r="J273" s="24">
        <v>14475</v>
      </c>
      <c r="K273" s="19"/>
      <c r="L273" s="19"/>
      <c r="M273" s="24">
        <v>36588</v>
      </c>
    </row>
    <row r="274" ht="14.1" customHeight="1" spans="1:13">
      <c r="A274" s="19"/>
      <c r="B274" s="19"/>
      <c r="C274" s="19"/>
      <c r="D274" s="19"/>
      <c r="E274" s="19"/>
      <c r="F274" s="19"/>
      <c r="G274" s="19"/>
      <c r="H274" s="21"/>
      <c r="I274" s="21"/>
      <c r="J274" s="19"/>
      <c r="K274" s="19"/>
      <c r="L274" s="19"/>
      <c r="M274" s="19"/>
    </row>
    <row r="275" ht="14.1" customHeight="1" spans="1:13">
      <c r="A275" s="22">
        <v>636</v>
      </c>
      <c r="B275" s="19"/>
      <c r="C275" s="19" t="s">
        <v>710</v>
      </c>
      <c r="D275" s="19" t="s">
        <v>39</v>
      </c>
      <c r="E275" s="19"/>
      <c r="F275" s="19"/>
      <c r="G275" s="19"/>
      <c r="H275" s="21"/>
      <c r="I275" s="21"/>
      <c r="J275" s="19"/>
      <c r="K275" s="19"/>
      <c r="L275" s="19"/>
      <c r="M275" s="24">
        <v>24550</v>
      </c>
    </row>
    <row r="276" ht="14.1" customHeight="1" spans="1:13">
      <c r="A276" s="19"/>
      <c r="B276" s="19"/>
      <c r="C276" s="19"/>
      <c r="D276" s="19"/>
      <c r="E276" s="19"/>
      <c r="F276" s="19"/>
      <c r="G276" s="19"/>
      <c r="H276" s="21"/>
      <c r="I276" s="21"/>
      <c r="J276" s="19"/>
      <c r="K276" s="19"/>
      <c r="L276" s="19"/>
      <c r="M276" s="19"/>
    </row>
    <row r="277" ht="14.1" customHeight="1" spans="1:13">
      <c r="A277" s="19"/>
      <c r="B277" s="19"/>
      <c r="C277" s="20" t="s">
        <v>268</v>
      </c>
      <c r="D277" s="19"/>
      <c r="E277" s="19"/>
      <c r="F277" s="19"/>
      <c r="G277" s="19"/>
      <c r="H277" s="21"/>
      <c r="I277" s="21"/>
      <c r="J277" s="19"/>
      <c r="K277" s="19"/>
      <c r="L277" s="19"/>
      <c r="M277" s="19"/>
    </row>
    <row r="278" ht="14.1" customHeight="1" spans="1:13">
      <c r="A278" s="22">
        <v>637</v>
      </c>
      <c r="B278" s="19"/>
      <c r="C278" s="19" t="s">
        <v>711</v>
      </c>
      <c r="D278" s="19" t="s">
        <v>39</v>
      </c>
      <c r="E278" s="19"/>
      <c r="F278" s="19"/>
      <c r="G278" s="19"/>
      <c r="H278" s="21"/>
      <c r="I278" s="21"/>
      <c r="J278" s="19"/>
      <c r="K278" s="24">
        <v>6142</v>
      </c>
      <c r="L278" s="24">
        <v>7292</v>
      </c>
      <c r="M278" s="19"/>
    </row>
    <row r="279" ht="14.1" customHeight="1" spans="1:13">
      <c r="A279" s="19"/>
      <c r="B279" s="19"/>
      <c r="C279" s="19"/>
      <c r="D279" s="19"/>
      <c r="E279" s="19"/>
      <c r="F279" s="19"/>
      <c r="G279" s="19"/>
      <c r="H279" s="21"/>
      <c r="I279" s="21"/>
      <c r="J279" s="19"/>
      <c r="K279" s="19"/>
      <c r="L279" s="19"/>
      <c r="M279" s="19"/>
    </row>
    <row r="280" ht="14.1" customHeight="1" spans="1:13">
      <c r="A280" s="22">
        <v>638</v>
      </c>
      <c r="B280" s="19"/>
      <c r="C280" s="19" t="s">
        <v>712</v>
      </c>
      <c r="D280" s="19" t="s">
        <v>39</v>
      </c>
      <c r="E280" s="24">
        <v>2050</v>
      </c>
      <c r="F280" s="24">
        <v>2363</v>
      </c>
      <c r="G280" s="24">
        <v>2725</v>
      </c>
      <c r="H280" s="23">
        <v>3238</v>
      </c>
      <c r="I280" s="23">
        <v>5088</v>
      </c>
      <c r="J280" s="24">
        <v>6708</v>
      </c>
      <c r="K280" s="24">
        <v>8013</v>
      </c>
      <c r="L280" s="24">
        <v>9950</v>
      </c>
      <c r="M280" s="19"/>
    </row>
    <row r="281" ht="14.1" customHeight="1" spans="1:13">
      <c r="A281" s="19"/>
      <c r="B281" s="19"/>
      <c r="C281" s="19"/>
      <c r="D281" s="19"/>
      <c r="E281" s="19"/>
      <c r="F281" s="19"/>
      <c r="G281" s="19"/>
      <c r="H281" s="21"/>
      <c r="I281" s="21"/>
      <c r="J281" s="19"/>
      <c r="K281" s="19"/>
      <c r="L281" s="19"/>
      <c r="M281" s="19"/>
    </row>
    <row r="282" ht="14.1" customHeight="1" spans="1:13">
      <c r="A282" s="22">
        <v>639</v>
      </c>
      <c r="B282" s="19"/>
      <c r="C282" s="19" t="s">
        <v>557</v>
      </c>
      <c r="D282" s="19" t="s">
        <v>39</v>
      </c>
      <c r="E282" s="19"/>
      <c r="F282" s="24">
        <v>2567</v>
      </c>
      <c r="G282" s="24">
        <v>2917</v>
      </c>
      <c r="H282" s="23">
        <v>3225</v>
      </c>
      <c r="I282" s="23">
        <v>3892</v>
      </c>
      <c r="J282" s="19"/>
      <c r="K282" s="19"/>
      <c r="L282" s="19"/>
      <c r="M282" s="19"/>
    </row>
    <row r="283" ht="14.1" customHeight="1" spans="1:13">
      <c r="A283" s="19"/>
      <c r="B283" s="19"/>
      <c r="C283" s="19"/>
      <c r="D283" s="19"/>
      <c r="E283" s="19"/>
      <c r="F283" s="19"/>
      <c r="G283" s="19"/>
      <c r="H283" s="21"/>
      <c r="I283" s="21"/>
      <c r="J283" s="19"/>
      <c r="K283" s="19"/>
      <c r="L283" s="19"/>
      <c r="M283" s="19"/>
    </row>
    <row r="284" ht="14.1" customHeight="1" spans="1:13">
      <c r="A284" s="19"/>
      <c r="B284" s="19"/>
      <c r="C284" s="20" t="s">
        <v>53</v>
      </c>
      <c r="D284" s="19"/>
      <c r="E284" s="19"/>
      <c r="F284" s="19"/>
      <c r="G284" s="19"/>
      <c r="H284" s="21"/>
      <c r="I284" s="21"/>
      <c r="J284" s="19"/>
      <c r="K284" s="19"/>
      <c r="L284" s="19"/>
      <c r="M284" s="19"/>
    </row>
    <row r="285" ht="14.1" customHeight="1" spans="1:13">
      <c r="A285" s="22">
        <v>640</v>
      </c>
      <c r="B285" s="19"/>
      <c r="C285" s="19" t="s">
        <v>713</v>
      </c>
      <c r="D285" s="19" t="s">
        <v>39</v>
      </c>
      <c r="E285" s="19"/>
      <c r="F285" s="19"/>
      <c r="G285" s="19"/>
      <c r="H285" s="21"/>
      <c r="I285" s="21"/>
      <c r="J285" s="19"/>
      <c r="K285" s="24">
        <v>7246</v>
      </c>
      <c r="L285" s="24">
        <v>8683</v>
      </c>
      <c r="M285" s="24">
        <v>9985</v>
      </c>
    </row>
    <row r="286" ht="14.1" customHeight="1" spans="1:13">
      <c r="A286" s="19"/>
      <c r="B286" s="19"/>
      <c r="C286" s="19"/>
      <c r="D286" s="19"/>
      <c r="E286" s="19"/>
      <c r="F286" s="19"/>
      <c r="G286" s="19"/>
      <c r="H286" s="21"/>
      <c r="I286" s="21"/>
      <c r="J286" s="19"/>
      <c r="K286" s="19"/>
      <c r="L286" s="19"/>
      <c r="M286" s="19"/>
    </row>
    <row r="287" ht="14.1" customHeight="1" spans="1:13">
      <c r="A287" s="22">
        <v>641</v>
      </c>
      <c r="B287" s="19"/>
      <c r="C287" s="19" t="s">
        <v>558</v>
      </c>
      <c r="D287" s="19" t="s">
        <v>39</v>
      </c>
      <c r="E287" s="24">
        <v>2944</v>
      </c>
      <c r="F287" s="24">
        <v>3458</v>
      </c>
      <c r="G287" s="24">
        <v>4011</v>
      </c>
      <c r="H287" s="23">
        <v>4413</v>
      </c>
      <c r="I287" s="23">
        <v>5184</v>
      </c>
      <c r="J287" s="24">
        <v>5928</v>
      </c>
      <c r="K287" s="24">
        <v>6750</v>
      </c>
      <c r="L287" s="19"/>
      <c r="M287" s="19"/>
    </row>
    <row r="288" ht="14.1" customHeight="1" spans="1:13">
      <c r="A288" s="19"/>
      <c r="B288" s="19"/>
      <c r="C288" s="19"/>
      <c r="D288" s="19"/>
      <c r="E288" s="19"/>
      <c r="F288" s="19"/>
      <c r="G288" s="19"/>
      <c r="H288" s="21"/>
      <c r="I288" s="21"/>
      <c r="J288" s="19"/>
      <c r="K288" s="19"/>
      <c r="L288" s="19"/>
      <c r="M288" s="19"/>
    </row>
    <row r="289" ht="14.1" customHeight="1" spans="1:13">
      <c r="A289" s="19"/>
      <c r="B289" s="19"/>
      <c r="C289" s="20" t="s">
        <v>287</v>
      </c>
      <c r="D289" s="19"/>
      <c r="E289" s="19"/>
      <c r="F289" s="19"/>
      <c r="G289" s="19"/>
      <c r="H289" s="21"/>
      <c r="I289" s="21"/>
      <c r="J289" s="19"/>
      <c r="K289" s="19"/>
      <c r="L289" s="19"/>
      <c r="M289" s="19"/>
    </row>
    <row r="290" ht="14.1" customHeight="1" spans="1:13">
      <c r="A290" s="22">
        <v>642</v>
      </c>
      <c r="B290" s="19"/>
      <c r="C290" s="19" t="s">
        <v>714</v>
      </c>
      <c r="D290" s="19" t="s">
        <v>39</v>
      </c>
      <c r="E290" s="19"/>
      <c r="F290" s="19"/>
      <c r="G290" s="19"/>
      <c r="H290" s="21"/>
      <c r="I290" s="21"/>
      <c r="J290" s="19"/>
      <c r="K290" s="19"/>
      <c r="L290" s="19"/>
      <c r="M290" s="24">
        <v>23783</v>
      </c>
    </row>
    <row r="291" ht="14.1" customHeight="1" spans="1:13">
      <c r="A291" s="19"/>
      <c r="B291" s="19"/>
      <c r="C291" s="19"/>
      <c r="D291" s="19"/>
      <c r="E291" s="19"/>
      <c r="F291" s="19"/>
      <c r="G291" s="19"/>
      <c r="H291" s="21"/>
      <c r="I291" s="21"/>
      <c r="J291" s="19"/>
      <c r="K291" s="19"/>
      <c r="L291" s="19"/>
      <c r="M291" s="19"/>
    </row>
    <row r="292" ht="14.1" customHeight="1" spans="1:13">
      <c r="A292" s="22">
        <v>643</v>
      </c>
      <c r="B292" s="19"/>
      <c r="C292" s="19" t="s">
        <v>715</v>
      </c>
      <c r="D292" s="19" t="s">
        <v>39</v>
      </c>
      <c r="E292" s="19"/>
      <c r="F292" s="19"/>
      <c r="G292" s="19"/>
      <c r="H292" s="21"/>
      <c r="I292" s="21"/>
      <c r="J292" s="24">
        <v>10844</v>
      </c>
      <c r="K292" s="24">
        <v>12531</v>
      </c>
      <c r="L292" s="24">
        <v>14225</v>
      </c>
      <c r="M292" s="24">
        <v>16359</v>
      </c>
    </row>
    <row r="293" ht="14.1" customHeight="1" spans="1:13">
      <c r="A293" s="19"/>
      <c r="B293" s="19"/>
      <c r="C293" s="19"/>
      <c r="D293" s="19"/>
      <c r="E293" s="19"/>
      <c r="F293" s="19"/>
      <c r="G293" s="19"/>
      <c r="H293" s="21"/>
      <c r="I293" s="21"/>
      <c r="J293" s="19"/>
      <c r="K293" s="19"/>
      <c r="L293" s="19"/>
      <c r="M293" s="19"/>
    </row>
    <row r="294" ht="14.1" customHeight="1" spans="1:13">
      <c r="A294" s="22">
        <v>644</v>
      </c>
      <c r="B294" s="19"/>
      <c r="C294" s="19" t="s">
        <v>716</v>
      </c>
      <c r="D294" s="19" t="s">
        <v>39</v>
      </c>
      <c r="E294" s="24">
        <v>3625</v>
      </c>
      <c r="F294" s="24">
        <v>4200</v>
      </c>
      <c r="G294" s="24">
        <v>5304</v>
      </c>
      <c r="H294" s="23">
        <v>5904</v>
      </c>
      <c r="I294" s="23">
        <v>6950</v>
      </c>
      <c r="J294" s="24">
        <v>8000</v>
      </c>
      <c r="K294" s="24">
        <v>9988</v>
      </c>
      <c r="L294" s="24">
        <v>14675</v>
      </c>
      <c r="M294" s="24">
        <v>16876</v>
      </c>
    </row>
    <row r="295" ht="14.1" customHeight="1" spans="1:13">
      <c r="A295" s="19"/>
      <c r="B295" s="19"/>
      <c r="C295" s="19"/>
      <c r="D295" s="19"/>
      <c r="E295" s="19"/>
      <c r="F295" s="19"/>
      <c r="G295" s="19"/>
      <c r="H295" s="21"/>
      <c r="I295" s="21"/>
      <c r="J295" s="19"/>
      <c r="K295" s="19"/>
      <c r="L295" s="19"/>
      <c r="M295" s="19"/>
    </row>
    <row r="296" ht="14.1" customHeight="1" spans="1:13">
      <c r="A296" s="22">
        <v>645</v>
      </c>
      <c r="B296" s="19"/>
      <c r="C296" s="19" t="s">
        <v>717</v>
      </c>
      <c r="D296" s="19" t="s">
        <v>39</v>
      </c>
      <c r="E296" s="19"/>
      <c r="F296" s="19"/>
      <c r="G296" s="19"/>
      <c r="H296" s="21"/>
      <c r="I296" s="21"/>
      <c r="J296" s="19"/>
      <c r="K296" s="24">
        <v>15304</v>
      </c>
      <c r="L296" s="24">
        <v>18495</v>
      </c>
      <c r="M296" s="19"/>
    </row>
    <row r="297" ht="14.1" customHeight="1" spans="1:13">
      <c r="A297" s="19"/>
      <c r="B297" s="19"/>
      <c r="C297" s="19"/>
      <c r="D297" s="19"/>
      <c r="E297" s="19"/>
      <c r="F297" s="19"/>
      <c r="G297" s="19"/>
      <c r="H297" s="21"/>
      <c r="I297" s="21"/>
      <c r="J297" s="19"/>
      <c r="K297" s="19"/>
      <c r="L297" s="19"/>
      <c r="M297" s="19"/>
    </row>
    <row r="298" ht="14.1" customHeight="1" spans="1:13">
      <c r="A298" s="22">
        <v>646</v>
      </c>
      <c r="B298" s="19"/>
      <c r="C298" s="19" t="s">
        <v>565</v>
      </c>
      <c r="D298" s="19" t="s">
        <v>39</v>
      </c>
      <c r="E298" s="24">
        <v>2588</v>
      </c>
      <c r="F298" s="24">
        <v>3083</v>
      </c>
      <c r="G298" s="24">
        <v>3550</v>
      </c>
      <c r="H298" s="23">
        <v>3958</v>
      </c>
      <c r="I298" s="23">
        <v>4608</v>
      </c>
      <c r="J298" s="19"/>
      <c r="K298" s="24">
        <v>8808</v>
      </c>
      <c r="L298" s="24">
        <v>9806</v>
      </c>
      <c r="M298" s="24">
        <v>11277</v>
      </c>
    </row>
    <row r="299" ht="14.1" customHeight="1" spans="1:13">
      <c r="A299" s="19"/>
      <c r="B299" s="19"/>
      <c r="C299" s="19"/>
      <c r="D299" s="19"/>
      <c r="E299" s="19"/>
      <c r="F299" s="19"/>
      <c r="G299" s="19"/>
      <c r="H299" s="21"/>
      <c r="I299" s="21"/>
      <c r="J299" s="19"/>
      <c r="K299" s="19"/>
      <c r="L299" s="19"/>
      <c r="M299" s="19"/>
    </row>
    <row r="300" ht="14.1" customHeight="1" spans="1:13">
      <c r="A300" s="22">
        <v>647</v>
      </c>
      <c r="B300" s="19"/>
      <c r="C300" s="19" t="s">
        <v>481</v>
      </c>
      <c r="D300" s="19" t="s">
        <v>39</v>
      </c>
      <c r="E300" s="19"/>
      <c r="F300" s="19"/>
      <c r="G300" s="24">
        <v>4975</v>
      </c>
      <c r="H300" s="23">
        <v>5563</v>
      </c>
      <c r="I300" s="23">
        <v>6638</v>
      </c>
      <c r="J300" s="24">
        <v>8113</v>
      </c>
      <c r="K300" s="24">
        <v>9213</v>
      </c>
      <c r="L300" s="24">
        <v>12050</v>
      </c>
      <c r="M300" s="24">
        <v>13858</v>
      </c>
    </row>
    <row r="301" ht="14.1" customHeight="1" spans="1:13">
      <c r="A301" s="19"/>
      <c r="B301" s="19"/>
      <c r="C301" s="19"/>
      <c r="D301" s="19"/>
      <c r="E301" s="19"/>
      <c r="F301" s="19"/>
      <c r="G301" s="19"/>
      <c r="H301" s="21"/>
      <c r="I301" s="21"/>
      <c r="J301" s="19"/>
      <c r="K301" s="19"/>
      <c r="L301" s="19"/>
      <c r="M301" s="19"/>
    </row>
    <row r="302" ht="14.1" customHeight="1" spans="1:13">
      <c r="A302" s="22">
        <v>648</v>
      </c>
      <c r="B302" s="19"/>
      <c r="C302" s="19" t="s">
        <v>718</v>
      </c>
      <c r="D302" s="19" t="s">
        <v>39</v>
      </c>
      <c r="E302" s="19"/>
      <c r="F302" s="19"/>
      <c r="G302" s="24">
        <v>4675</v>
      </c>
      <c r="H302" s="23">
        <v>5200</v>
      </c>
      <c r="I302" s="23">
        <v>5800</v>
      </c>
      <c r="J302" s="24">
        <v>7150</v>
      </c>
      <c r="K302" s="24">
        <v>8100</v>
      </c>
      <c r="L302" s="19"/>
      <c r="M302" s="19"/>
    </row>
    <row r="303" ht="14.1" customHeight="1" spans="1:13">
      <c r="A303" s="19"/>
      <c r="B303" s="19"/>
      <c r="C303" s="19"/>
      <c r="D303" s="19"/>
      <c r="E303" s="19"/>
      <c r="F303" s="19"/>
      <c r="G303" s="19"/>
      <c r="H303" s="21"/>
      <c r="I303" s="21"/>
      <c r="J303" s="19"/>
      <c r="K303" s="19"/>
      <c r="L303" s="19"/>
      <c r="M303" s="19"/>
    </row>
    <row r="304" ht="14.1" customHeight="1" spans="1:13">
      <c r="A304" s="19"/>
      <c r="B304" s="19"/>
      <c r="C304" s="20" t="s">
        <v>294</v>
      </c>
      <c r="D304" s="19"/>
      <c r="E304" s="19"/>
      <c r="F304" s="19"/>
      <c r="G304" s="19"/>
      <c r="H304" s="21"/>
      <c r="I304" s="21"/>
      <c r="J304" s="19"/>
      <c r="K304" s="19"/>
      <c r="L304" s="19"/>
      <c r="M304" s="19"/>
    </row>
    <row r="305" ht="14.1" customHeight="1" spans="1:13">
      <c r="A305" s="22">
        <v>649</v>
      </c>
      <c r="B305" s="19"/>
      <c r="C305" s="19" t="s">
        <v>719</v>
      </c>
      <c r="D305" s="19" t="s">
        <v>39</v>
      </c>
      <c r="E305" s="24">
        <v>2475</v>
      </c>
      <c r="F305" s="24">
        <v>2800</v>
      </c>
      <c r="G305" s="24">
        <v>3100</v>
      </c>
      <c r="H305" s="23">
        <v>3425</v>
      </c>
      <c r="I305" s="21"/>
      <c r="J305" s="19"/>
      <c r="K305" s="19"/>
      <c r="L305" s="19"/>
      <c r="M305" s="19"/>
    </row>
    <row r="306" ht="14.1" customHeight="1" spans="1:13">
      <c r="A306" s="19"/>
      <c r="B306" s="19"/>
      <c r="C306" s="19"/>
      <c r="D306" s="19"/>
      <c r="E306" s="19"/>
      <c r="F306" s="19"/>
      <c r="G306" s="19"/>
      <c r="H306" s="21"/>
      <c r="I306" s="21"/>
      <c r="J306" s="19"/>
      <c r="K306" s="19"/>
      <c r="L306" s="19"/>
      <c r="M306" s="19"/>
    </row>
    <row r="307" ht="14.1" customHeight="1" spans="1:13">
      <c r="A307" s="22">
        <v>650</v>
      </c>
      <c r="B307" s="19"/>
      <c r="C307" s="19" t="s">
        <v>720</v>
      </c>
      <c r="D307" s="19" t="s">
        <v>39</v>
      </c>
      <c r="E307" s="19"/>
      <c r="F307" s="19"/>
      <c r="G307" s="19"/>
      <c r="H307" s="21"/>
      <c r="I307" s="23">
        <v>5138</v>
      </c>
      <c r="J307" s="24">
        <v>6038</v>
      </c>
      <c r="K307" s="24">
        <v>6938</v>
      </c>
      <c r="L307" s="19"/>
      <c r="M307" s="19"/>
    </row>
    <row r="308" ht="14.1" customHeight="1" spans="1:13">
      <c r="A308" s="19"/>
      <c r="B308" s="19"/>
      <c r="C308" s="19"/>
      <c r="D308" s="19"/>
      <c r="E308" s="19"/>
      <c r="F308" s="19"/>
      <c r="G308" s="19"/>
      <c r="H308" s="21"/>
      <c r="I308" s="21"/>
      <c r="J308" s="19"/>
      <c r="K308" s="19"/>
      <c r="L308" s="19"/>
      <c r="M308" s="19"/>
    </row>
    <row r="309" ht="14.1" customHeight="1" spans="1:13">
      <c r="A309" s="22">
        <v>651</v>
      </c>
      <c r="B309" s="19"/>
      <c r="C309" s="19" t="s">
        <v>721</v>
      </c>
      <c r="D309" s="19" t="s">
        <v>39</v>
      </c>
      <c r="E309" s="24">
        <v>2267</v>
      </c>
      <c r="F309" s="24">
        <v>2556</v>
      </c>
      <c r="G309" s="24">
        <v>2858</v>
      </c>
      <c r="H309" s="23">
        <v>3108</v>
      </c>
      <c r="I309" s="23">
        <v>3733</v>
      </c>
      <c r="J309" s="24">
        <v>4333</v>
      </c>
      <c r="K309" s="24">
        <v>5108</v>
      </c>
      <c r="L309" s="19"/>
      <c r="M309" s="19"/>
    </row>
    <row r="310" ht="14.1" customHeight="1" spans="1:13">
      <c r="A310" s="19"/>
      <c r="B310" s="19"/>
      <c r="C310" s="19"/>
      <c r="D310" s="19"/>
      <c r="E310" s="19"/>
      <c r="F310" s="19"/>
      <c r="G310" s="19"/>
      <c r="H310" s="21"/>
      <c r="I310" s="21"/>
      <c r="J310" s="19"/>
      <c r="K310" s="19"/>
      <c r="L310" s="19"/>
      <c r="M310" s="19"/>
    </row>
    <row r="311" ht="14.1" customHeight="1" spans="1:13">
      <c r="A311" s="19"/>
      <c r="B311" s="19"/>
      <c r="C311" s="20" t="s">
        <v>296</v>
      </c>
      <c r="D311" s="19"/>
      <c r="E311" s="19"/>
      <c r="F311" s="19"/>
      <c r="G311" s="19"/>
      <c r="H311" s="21"/>
      <c r="I311" s="21"/>
      <c r="J311" s="19"/>
      <c r="K311" s="19"/>
      <c r="L311" s="19"/>
      <c r="M311" s="19"/>
    </row>
    <row r="312" ht="14.1" customHeight="1" spans="1:13">
      <c r="A312" s="22">
        <v>652</v>
      </c>
      <c r="B312" s="19"/>
      <c r="C312" s="19" t="s">
        <v>722</v>
      </c>
      <c r="D312" s="19" t="s">
        <v>39</v>
      </c>
      <c r="E312" s="24">
        <v>1975</v>
      </c>
      <c r="F312" s="24">
        <v>2256</v>
      </c>
      <c r="G312" s="24">
        <v>2413</v>
      </c>
      <c r="H312" s="21"/>
      <c r="I312" s="21"/>
      <c r="J312" s="19"/>
      <c r="K312" s="19"/>
      <c r="L312" s="19"/>
      <c r="M312" s="19"/>
    </row>
    <row r="313" ht="14.1" customHeight="1" spans="1:13">
      <c r="A313" s="19"/>
      <c r="B313" s="19"/>
      <c r="C313" s="19"/>
      <c r="D313" s="19"/>
      <c r="E313" s="19"/>
      <c r="F313" s="19"/>
      <c r="G313" s="19"/>
      <c r="H313" s="21"/>
      <c r="I313" s="21"/>
      <c r="J313" s="19"/>
      <c r="K313" s="19"/>
      <c r="L313" s="19"/>
      <c r="M313" s="19"/>
    </row>
    <row r="314" ht="14.1" customHeight="1" spans="1:13">
      <c r="A314" s="19"/>
      <c r="B314" s="19"/>
      <c r="C314" s="20" t="s">
        <v>298</v>
      </c>
      <c r="D314" s="19"/>
      <c r="E314" s="19"/>
      <c r="F314" s="19"/>
      <c r="G314" s="19"/>
      <c r="H314" s="21"/>
      <c r="I314" s="21"/>
      <c r="J314" s="19"/>
      <c r="K314" s="19"/>
      <c r="L314" s="19"/>
      <c r="M314" s="19"/>
    </row>
    <row r="315" ht="14.1" customHeight="1" spans="1:13">
      <c r="A315" s="22">
        <v>653</v>
      </c>
      <c r="B315" s="19"/>
      <c r="C315" s="19" t="s">
        <v>723</v>
      </c>
      <c r="D315" s="19" t="s">
        <v>39</v>
      </c>
      <c r="E315" s="19"/>
      <c r="F315" s="19"/>
      <c r="G315" s="19"/>
      <c r="H315" s="23">
        <v>3656</v>
      </c>
      <c r="I315" s="23">
        <v>4063</v>
      </c>
      <c r="J315" s="24">
        <v>4588</v>
      </c>
      <c r="K315" s="24">
        <v>5200</v>
      </c>
      <c r="L315" s="24">
        <v>6113</v>
      </c>
      <c r="M315" s="19"/>
    </row>
    <row r="316" ht="14.1" customHeight="1" spans="1:13">
      <c r="A316" s="19"/>
      <c r="B316" s="19"/>
      <c r="C316" s="19"/>
      <c r="D316" s="19"/>
      <c r="E316" s="19"/>
      <c r="F316" s="19"/>
      <c r="G316" s="19"/>
      <c r="H316" s="21"/>
      <c r="I316" s="21"/>
      <c r="J316" s="19"/>
      <c r="K316" s="19"/>
      <c r="L316" s="19"/>
      <c r="M316" s="19"/>
    </row>
    <row r="317" ht="14.1" customHeight="1" spans="1:13">
      <c r="A317" s="22">
        <v>654</v>
      </c>
      <c r="B317" s="19"/>
      <c r="C317" s="19" t="s">
        <v>724</v>
      </c>
      <c r="D317" s="19" t="s">
        <v>39</v>
      </c>
      <c r="E317" s="19"/>
      <c r="F317" s="19"/>
      <c r="G317" s="19"/>
      <c r="H317" s="21"/>
      <c r="I317" s="21"/>
      <c r="J317" s="19"/>
      <c r="K317" s="19"/>
      <c r="L317" s="24">
        <v>7050</v>
      </c>
      <c r="M317" s="19"/>
    </row>
    <row r="318" ht="14.1" customHeight="1" spans="1:13">
      <c r="A318" s="19"/>
      <c r="B318" s="19"/>
      <c r="C318" s="19"/>
      <c r="D318" s="19"/>
      <c r="E318" s="19"/>
      <c r="F318" s="19"/>
      <c r="G318" s="19"/>
      <c r="H318" s="21"/>
      <c r="I318" s="21"/>
      <c r="J318" s="19"/>
      <c r="K318" s="19"/>
      <c r="L318" s="19"/>
      <c r="M318" s="19"/>
    </row>
    <row r="319" ht="14.1" customHeight="1" spans="1:13">
      <c r="A319" s="22">
        <v>655</v>
      </c>
      <c r="B319" s="19"/>
      <c r="C319" s="19" t="s">
        <v>725</v>
      </c>
      <c r="D319" s="19" t="s">
        <v>39</v>
      </c>
      <c r="E319" s="19"/>
      <c r="F319" s="24">
        <v>2200</v>
      </c>
      <c r="G319" s="24">
        <v>2533</v>
      </c>
      <c r="H319" s="23">
        <v>2892</v>
      </c>
      <c r="I319" s="23">
        <v>3567</v>
      </c>
      <c r="J319" s="24">
        <v>4208</v>
      </c>
      <c r="K319" s="24">
        <v>4950</v>
      </c>
      <c r="L319" s="24">
        <v>6463</v>
      </c>
      <c r="M319" s="19"/>
    </row>
    <row r="320" ht="14.1" customHeight="1" spans="1:13">
      <c r="A320" s="19"/>
      <c r="B320" s="19"/>
      <c r="C320" s="19"/>
      <c r="D320" s="19"/>
      <c r="E320" s="19"/>
      <c r="F320" s="19"/>
      <c r="G320" s="19"/>
      <c r="H320" s="21"/>
      <c r="I320" s="21"/>
      <c r="J320" s="19"/>
      <c r="K320" s="19"/>
      <c r="L320" s="19"/>
      <c r="M320" s="19"/>
    </row>
    <row r="321" ht="14.1" customHeight="1" spans="1:13">
      <c r="A321" s="22">
        <v>656</v>
      </c>
      <c r="B321" s="19"/>
      <c r="C321" s="19" t="s">
        <v>726</v>
      </c>
      <c r="D321" s="19" t="s">
        <v>39</v>
      </c>
      <c r="E321" s="24">
        <v>1950</v>
      </c>
      <c r="F321" s="19"/>
      <c r="G321" s="19"/>
      <c r="H321" s="21"/>
      <c r="I321" s="21"/>
      <c r="J321" s="19"/>
      <c r="K321" s="19"/>
      <c r="L321" s="19"/>
      <c r="M321" s="19"/>
    </row>
    <row r="322" ht="14.1" customHeight="1" spans="1:13">
      <c r="A322" s="19"/>
      <c r="B322" s="19"/>
      <c r="C322" s="19"/>
      <c r="D322" s="19"/>
      <c r="E322" s="19"/>
      <c r="F322" s="19"/>
      <c r="G322" s="19"/>
      <c r="H322" s="21"/>
      <c r="I322" s="21"/>
      <c r="J322" s="19"/>
      <c r="K322" s="19"/>
      <c r="L322" s="19"/>
      <c r="M322" s="19"/>
    </row>
    <row r="323" ht="14.1" customHeight="1" spans="1:13">
      <c r="A323" s="19"/>
      <c r="B323" s="19"/>
      <c r="C323" s="20" t="s">
        <v>305</v>
      </c>
      <c r="D323" s="19"/>
      <c r="E323" s="19"/>
      <c r="F323" s="19"/>
      <c r="G323" s="19"/>
      <c r="H323" s="21"/>
      <c r="I323" s="21"/>
      <c r="J323" s="19"/>
      <c r="K323" s="19"/>
      <c r="L323" s="19"/>
      <c r="M323" s="19"/>
    </row>
    <row r="324" ht="14.1" customHeight="1" spans="1:13">
      <c r="A324" s="22">
        <v>657</v>
      </c>
      <c r="B324" s="19"/>
      <c r="C324" s="19" t="s">
        <v>727</v>
      </c>
      <c r="D324" s="19" t="s">
        <v>39</v>
      </c>
      <c r="E324" s="19"/>
      <c r="F324" s="19"/>
      <c r="G324" s="19"/>
      <c r="H324" s="21"/>
      <c r="I324" s="21"/>
      <c r="J324" s="24">
        <v>20313</v>
      </c>
      <c r="K324" s="24">
        <v>21642</v>
      </c>
      <c r="L324" s="24">
        <v>21975</v>
      </c>
      <c r="M324" s="24">
        <v>25271</v>
      </c>
    </row>
    <row r="325" ht="14.1" customHeight="1" spans="1:13">
      <c r="A325" s="19"/>
      <c r="B325" s="19"/>
      <c r="C325" s="19"/>
      <c r="D325" s="19"/>
      <c r="E325" s="19"/>
      <c r="F325" s="19"/>
      <c r="G325" s="19"/>
      <c r="H325" s="21"/>
      <c r="I325" s="21"/>
      <c r="J325" s="19"/>
      <c r="K325" s="19"/>
      <c r="L325" s="19"/>
      <c r="M325" s="19"/>
    </row>
    <row r="326" ht="14.1" customHeight="1" spans="1:13">
      <c r="A326" s="19"/>
      <c r="B326" s="19"/>
      <c r="C326" s="20" t="s">
        <v>313</v>
      </c>
      <c r="D326" s="19"/>
      <c r="E326" s="19"/>
      <c r="F326" s="19"/>
      <c r="G326" s="19"/>
      <c r="H326" s="21"/>
      <c r="I326" s="21"/>
      <c r="J326" s="19"/>
      <c r="K326" s="19"/>
      <c r="L326" s="19"/>
      <c r="M326" s="19"/>
    </row>
    <row r="327" ht="14.1" customHeight="1" spans="1:13">
      <c r="A327" s="22">
        <v>658</v>
      </c>
      <c r="B327" s="19"/>
      <c r="C327" s="19" t="s">
        <v>728</v>
      </c>
      <c r="D327" s="19" t="s">
        <v>39</v>
      </c>
      <c r="E327" s="19"/>
      <c r="F327" s="19"/>
      <c r="G327" s="19"/>
      <c r="H327" s="21"/>
      <c r="I327" s="21"/>
      <c r="J327" s="19"/>
      <c r="K327" s="19"/>
      <c r="L327" s="24">
        <v>7363</v>
      </c>
      <c r="M327" s="19"/>
    </row>
    <row r="328" ht="14.1" customHeight="1" spans="1:13">
      <c r="A328" s="19"/>
      <c r="B328" s="19"/>
      <c r="C328" s="19"/>
      <c r="D328" s="19"/>
      <c r="E328" s="19"/>
      <c r="F328" s="19"/>
      <c r="G328" s="19"/>
      <c r="H328" s="21"/>
      <c r="I328" s="21"/>
      <c r="J328" s="19"/>
      <c r="K328" s="19"/>
      <c r="L328" s="19"/>
      <c r="M328" s="19"/>
    </row>
    <row r="329" ht="14.1" customHeight="1" spans="1:13">
      <c r="A329" s="22">
        <v>659</v>
      </c>
      <c r="B329" s="19"/>
      <c r="C329" s="19" t="s">
        <v>729</v>
      </c>
      <c r="D329" s="19" t="s">
        <v>39</v>
      </c>
      <c r="E329" s="19"/>
      <c r="F329" s="19"/>
      <c r="G329" s="19"/>
      <c r="H329" s="21"/>
      <c r="I329" s="21"/>
      <c r="J329" s="19"/>
      <c r="K329" s="24">
        <v>6863</v>
      </c>
      <c r="L329" s="24">
        <v>8788</v>
      </c>
      <c r="M329" s="19"/>
    </row>
    <row r="330" ht="14.1" customHeight="1" spans="1:13">
      <c r="A330" s="19"/>
      <c r="B330" s="19"/>
      <c r="C330" s="19"/>
      <c r="D330" s="19"/>
      <c r="E330" s="19"/>
      <c r="F330" s="19"/>
      <c r="G330" s="19"/>
      <c r="H330" s="21"/>
      <c r="I330" s="21"/>
      <c r="J330" s="19"/>
      <c r="K330" s="19"/>
      <c r="L330" s="19"/>
      <c r="M330" s="19"/>
    </row>
    <row r="331" ht="14.1" customHeight="1" spans="1:13">
      <c r="A331" s="19"/>
      <c r="B331" s="19"/>
      <c r="C331" s="20" t="s">
        <v>320</v>
      </c>
      <c r="D331" s="19"/>
      <c r="E331" s="19"/>
      <c r="F331" s="19"/>
      <c r="G331" s="19"/>
      <c r="H331" s="21"/>
      <c r="I331" s="21"/>
      <c r="J331" s="19"/>
      <c r="K331" s="19"/>
      <c r="L331" s="19"/>
      <c r="M331" s="19"/>
    </row>
    <row r="332" ht="14.1" customHeight="1" spans="1:13">
      <c r="A332" s="22">
        <v>660</v>
      </c>
      <c r="B332" s="19"/>
      <c r="C332" s="19" t="s">
        <v>730</v>
      </c>
      <c r="D332" s="19" t="s">
        <v>39</v>
      </c>
      <c r="E332" s="19"/>
      <c r="F332" s="19"/>
      <c r="G332" s="19"/>
      <c r="H332" s="21"/>
      <c r="I332" s="21"/>
      <c r="J332" s="19"/>
      <c r="K332" s="19"/>
      <c r="L332" s="19"/>
      <c r="M332" s="24">
        <v>18375</v>
      </c>
    </row>
    <row r="333" ht="14.1" customHeight="1" spans="1:13">
      <c r="A333" s="19"/>
      <c r="B333" s="19"/>
      <c r="C333" s="19"/>
      <c r="D333" s="19"/>
      <c r="E333" s="19"/>
      <c r="F333" s="19"/>
      <c r="G333" s="19"/>
      <c r="H333" s="21"/>
      <c r="I333" s="21"/>
      <c r="J333" s="19"/>
      <c r="K333" s="19"/>
      <c r="L333" s="19"/>
      <c r="M333" s="19"/>
    </row>
    <row r="334" ht="14.1" customHeight="1" spans="1:13">
      <c r="A334" s="19"/>
      <c r="B334" s="19"/>
      <c r="C334" s="20" t="s">
        <v>62</v>
      </c>
      <c r="D334" s="19"/>
      <c r="E334" s="19"/>
      <c r="F334" s="19"/>
      <c r="G334" s="19"/>
      <c r="H334" s="21"/>
      <c r="I334" s="21"/>
      <c r="J334" s="19"/>
      <c r="K334" s="19"/>
      <c r="L334" s="19"/>
      <c r="M334" s="19"/>
    </row>
    <row r="335" ht="14.1" customHeight="1" spans="1:13">
      <c r="A335" s="22">
        <v>661</v>
      </c>
      <c r="B335" s="19"/>
      <c r="C335" s="19" t="s">
        <v>731</v>
      </c>
      <c r="D335" s="19" t="s">
        <v>39</v>
      </c>
      <c r="E335" s="24">
        <v>4925</v>
      </c>
      <c r="F335" s="24">
        <v>5850</v>
      </c>
      <c r="G335" s="24">
        <v>6688</v>
      </c>
      <c r="H335" s="23">
        <v>7700</v>
      </c>
      <c r="I335" s="23">
        <v>8456</v>
      </c>
      <c r="J335" s="24">
        <v>10971</v>
      </c>
      <c r="K335" s="24">
        <v>14017</v>
      </c>
      <c r="L335" s="24">
        <v>16513</v>
      </c>
      <c r="M335" s="24">
        <v>18990</v>
      </c>
    </row>
    <row r="336" ht="14.1" customHeight="1" spans="1:13">
      <c r="A336" s="19"/>
      <c r="B336" s="19"/>
      <c r="C336" s="19"/>
      <c r="D336" s="19"/>
      <c r="E336" s="19"/>
      <c r="F336" s="19"/>
      <c r="G336" s="19"/>
      <c r="H336" s="21"/>
      <c r="I336" s="21"/>
      <c r="J336" s="19"/>
      <c r="K336" s="19"/>
      <c r="L336" s="19"/>
      <c r="M336" s="19"/>
    </row>
    <row r="337" ht="14.1" customHeight="1" spans="1:13">
      <c r="A337" s="22">
        <v>662</v>
      </c>
      <c r="B337" s="19"/>
      <c r="C337" s="19" t="s">
        <v>732</v>
      </c>
      <c r="D337" s="19" t="s">
        <v>39</v>
      </c>
      <c r="E337" s="19"/>
      <c r="F337" s="19"/>
      <c r="G337" s="19"/>
      <c r="H337" s="21"/>
      <c r="I337" s="21"/>
      <c r="J337" s="24">
        <v>11171</v>
      </c>
      <c r="K337" s="24">
        <v>14325</v>
      </c>
      <c r="L337" s="24">
        <v>16921</v>
      </c>
      <c r="M337" s="19"/>
    </row>
    <row r="338" ht="14.1" customHeight="1" spans="1:13">
      <c r="A338" s="19"/>
      <c r="B338" s="19"/>
      <c r="C338" s="19"/>
      <c r="D338" s="19"/>
      <c r="E338" s="19"/>
      <c r="F338" s="19"/>
      <c r="G338" s="19"/>
      <c r="H338" s="21"/>
      <c r="I338" s="21"/>
      <c r="J338" s="19"/>
      <c r="K338" s="19"/>
      <c r="L338" s="19"/>
      <c r="M338" s="19"/>
    </row>
    <row r="339" ht="14.1" customHeight="1" spans="1:13">
      <c r="A339" s="22">
        <v>663</v>
      </c>
      <c r="B339" s="19"/>
      <c r="C339" s="19" t="s">
        <v>733</v>
      </c>
      <c r="D339" s="19" t="s">
        <v>39</v>
      </c>
      <c r="E339" s="19"/>
      <c r="F339" s="19"/>
      <c r="G339" s="19"/>
      <c r="H339" s="21"/>
      <c r="I339" s="21"/>
      <c r="J339" s="19"/>
      <c r="K339" s="19"/>
      <c r="L339" s="19"/>
      <c r="M339" s="24">
        <v>22613</v>
      </c>
    </row>
    <row r="340" ht="14.1" customHeight="1" spans="1:13">
      <c r="A340" s="19"/>
      <c r="B340" s="19"/>
      <c r="C340" s="19"/>
      <c r="D340" s="19"/>
      <c r="E340" s="19"/>
      <c r="F340" s="19"/>
      <c r="G340" s="19"/>
      <c r="H340" s="21"/>
      <c r="I340" s="21"/>
      <c r="J340" s="19"/>
      <c r="K340" s="19"/>
      <c r="L340" s="19"/>
      <c r="M340" s="19"/>
    </row>
    <row r="341" ht="14.1" customHeight="1" spans="1:13">
      <c r="A341" s="22">
        <v>664</v>
      </c>
      <c r="B341" s="19"/>
      <c r="C341" s="19" t="s">
        <v>578</v>
      </c>
      <c r="D341" s="19" t="s">
        <v>39</v>
      </c>
      <c r="E341" s="19"/>
      <c r="F341" s="19"/>
      <c r="G341" s="19"/>
      <c r="H341" s="21"/>
      <c r="I341" s="21"/>
      <c r="J341" s="19"/>
      <c r="K341" s="19"/>
      <c r="L341" s="19"/>
      <c r="M341" s="24">
        <v>18400</v>
      </c>
    </row>
    <row r="342" ht="14.1" customHeight="1" spans="1:13">
      <c r="A342" s="19"/>
      <c r="B342" s="19"/>
      <c r="C342" s="19"/>
      <c r="D342" s="19"/>
      <c r="E342" s="19"/>
      <c r="F342" s="19"/>
      <c r="G342" s="19"/>
      <c r="H342" s="21"/>
      <c r="I342" s="21"/>
      <c r="J342" s="19"/>
      <c r="K342" s="19"/>
      <c r="L342" s="19"/>
      <c r="M342" s="19"/>
    </row>
    <row r="343" ht="14.1" customHeight="1" spans="1:13">
      <c r="A343" s="22">
        <v>665</v>
      </c>
      <c r="B343" s="19"/>
      <c r="C343" s="19" t="s">
        <v>579</v>
      </c>
      <c r="D343" s="19" t="s">
        <v>39</v>
      </c>
      <c r="E343" s="19"/>
      <c r="F343" s="19"/>
      <c r="G343" s="19"/>
      <c r="H343" s="23">
        <v>7638</v>
      </c>
      <c r="I343" s="23">
        <v>9613</v>
      </c>
      <c r="J343" s="24">
        <v>10819</v>
      </c>
      <c r="K343" s="24">
        <v>12138</v>
      </c>
      <c r="L343" s="24">
        <v>13875</v>
      </c>
      <c r="M343" s="24">
        <v>15956</v>
      </c>
    </row>
    <row r="344" ht="14.1" customHeight="1" spans="1:13">
      <c r="A344" s="19"/>
      <c r="B344" s="19"/>
      <c r="C344" s="19"/>
      <c r="D344" s="19"/>
      <c r="E344" s="19"/>
      <c r="F344" s="19"/>
      <c r="G344" s="19"/>
      <c r="H344" s="21"/>
      <c r="I344" s="21"/>
      <c r="J344" s="19"/>
      <c r="K344" s="19"/>
      <c r="L344" s="19"/>
      <c r="M344" s="19"/>
    </row>
    <row r="345" ht="14.1" customHeight="1" spans="1:13">
      <c r="A345" s="22">
        <v>666</v>
      </c>
      <c r="B345" s="19"/>
      <c r="C345" s="19" t="s">
        <v>734</v>
      </c>
      <c r="D345" s="19" t="s">
        <v>39</v>
      </c>
      <c r="E345" s="24">
        <v>7000</v>
      </c>
      <c r="F345" s="24">
        <v>11075</v>
      </c>
      <c r="G345" s="24">
        <v>12375</v>
      </c>
      <c r="H345" s="23">
        <v>15325</v>
      </c>
      <c r="I345" s="23">
        <v>19100</v>
      </c>
      <c r="J345" s="24">
        <v>21975</v>
      </c>
      <c r="K345" s="24">
        <v>23563</v>
      </c>
      <c r="L345" s="24">
        <v>25150</v>
      </c>
      <c r="M345" s="24">
        <v>28923</v>
      </c>
    </row>
    <row r="346" ht="14.1" customHeight="1" spans="1:13">
      <c r="A346" s="19"/>
      <c r="B346" s="19"/>
      <c r="C346" s="19"/>
      <c r="D346" s="19"/>
      <c r="E346" s="19"/>
      <c r="F346" s="19"/>
      <c r="G346" s="19"/>
      <c r="H346" s="21"/>
      <c r="I346" s="21"/>
      <c r="J346" s="19"/>
      <c r="K346" s="19"/>
      <c r="L346" s="19"/>
      <c r="M346" s="19"/>
    </row>
    <row r="347" ht="14.1" customHeight="1" spans="1:13">
      <c r="A347" s="22">
        <v>667</v>
      </c>
      <c r="B347" s="19"/>
      <c r="C347" s="19" t="s">
        <v>735</v>
      </c>
      <c r="D347" s="19" t="s">
        <v>39</v>
      </c>
      <c r="E347" s="19"/>
      <c r="F347" s="19"/>
      <c r="G347" s="19"/>
      <c r="H347" s="21"/>
      <c r="I347" s="21"/>
      <c r="J347" s="19"/>
      <c r="K347" s="19"/>
      <c r="L347" s="19"/>
      <c r="M347" s="24">
        <v>15233</v>
      </c>
    </row>
    <row r="348" ht="14.1" customHeight="1" spans="1:13">
      <c r="A348" s="19"/>
      <c r="B348" s="19"/>
      <c r="C348" s="19"/>
      <c r="D348" s="19"/>
      <c r="E348" s="19"/>
      <c r="F348" s="19"/>
      <c r="G348" s="19"/>
      <c r="H348" s="21"/>
      <c r="I348" s="21"/>
      <c r="J348" s="19"/>
      <c r="K348" s="19"/>
      <c r="L348" s="19"/>
      <c r="M348" s="19"/>
    </row>
    <row r="349" ht="14.1" customHeight="1" spans="1:13">
      <c r="A349" s="22">
        <v>668</v>
      </c>
      <c r="B349" s="19"/>
      <c r="C349" s="19" t="s">
        <v>736</v>
      </c>
      <c r="D349" s="19" t="s">
        <v>39</v>
      </c>
      <c r="E349" s="19"/>
      <c r="F349" s="19"/>
      <c r="G349" s="19"/>
      <c r="H349" s="23">
        <v>8294</v>
      </c>
      <c r="I349" s="23">
        <v>9925</v>
      </c>
      <c r="J349" s="24">
        <v>12250</v>
      </c>
      <c r="K349" s="24">
        <v>15625</v>
      </c>
      <c r="L349" s="24">
        <v>19613</v>
      </c>
      <c r="M349" s="24">
        <v>22555</v>
      </c>
    </row>
    <row r="350" ht="14.1" customHeight="1" spans="1:13">
      <c r="A350" s="19"/>
      <c r="B350" s="19"/>
      <c r="C350" s="19"/>
      <c r="D350" s="19"/>
      <c r="E350" s="19"/>
      <c r="F350" s="19"/>
      <c r="G350" s="19"/>
      <c r="H350" s="21"/>
      <c r="I350" s="21"/>
      <c r="J350" s="19"/>
      <c r="K350" s="19"/>
      <c r="L350" s="19"/>
      <c r="M350" s="19"/>
    </row>
    <row r="351" ht="14.1" customHeight="1" spans="1:13">
      <c r="A351" s="22">
        <v>669</v>
      </c>
      <c r="B351" s="19"/>
      <c r="C351" s="19" t="s">
        <v>582</v>
      </c>
      <c r="D351" s="19" t="s">
        <v>39</v>
      </c>
      <c r="E351" s="24">
        <v>3513</v>
      </c>
      <c r="F351" s="24">
        <v>3969</v>
      </c>
      <c r="G351" s="24">
        <v>4619</v>
      </c>
      <c r="H351" s="23">
        <v>5217</v>
      </c>
      <c r="I351" s="23">
        <v>6150</v>
      </c>
      <c r="J351" s="24">
        <v>7256</v>
      </c>
      <c r="K351" s="24">
        <v>11181</v>
      </c>
      <c r="L351" s="24">
        <v>13100</v>
      </c>
      <c r="M351" s="24">
        <v>15065</v>
      </c>
    </row>
    <row r="352" ht="14.1" customHeight="1" spans="1:13">
      <c r="A352" s="19"/>
      <c r="B352" s="19"/>
      <c r="C352" s="19"/>
      <c r="D352" s="19"/>
      <c r="E352" s="19"/>
      <c r="F352" s="19"/>
      <c r="G352" s="19"/>
      <c r="H352" s="21"/>
      <c r="I352" s="21"/>
      <c r="J352" s="19"/>
      <c r="K352" s="19"/>
      <c r="L352" s="19"/>
      <c r="M352" s="19"/>
    </row>
    <row r="353" ht="14.1" customHeight="1" spans="1:13">
      <c r="A353" s="19"/>
      <c r="B353" s="19"/>
      <c r="C353" s="20" t="s">
        <v>344</v>
      </c>
      <c r="D353" s="19"/>
      <c r="E353" s="19"/>
      <c r="F353" s="19"/>
      <c r="G353" s="19"/>
      <c r="H353" s="21"/>
      <c r="I353" s="21"/>
      <c r="J353" s="19"/>
      <c r="K353" s="19"/>
      <c r="L353" s="19"/>
      <c r="M353" s="19"/>
    </row>
    <row r="354" ht="14.1" customHeight="1" spans="1:13">
      <c r="A354" s="22">
        <v>670</v>
      </c>
      <c r="B354" s="19"/>
      <c r="C354" s="19" t="s">
        <v>737</v>
      </c>
      <c r="D354" s="19" t="s">
        <v>39</v>
      </c>
      <c r="E354" s="19"/>
      <c r="F354" s="19"/>
      <c r="G354" s="19"/>
      <c r="H354" s="21"/>
      <c r="I354" s="21"/>
      <c r="J354" s="19"/>
      <c r="K354" s="24">
        <v>16383</v>
      </c>
      <c r="L354" s="24">
        <v>16438</v>
      </c>
      <c r="M354" s="24">
        <v>18904</v>
      </c>
    </row>
    <row r="355" ht="14.1" customHeight="1" spans="1:13">
      <c r="A355" s="19"/>
      <c r="B355" s="19"/>
      <c r="C355" s="19"/>
      <c r="D355" s="19"/>
      <c r="E355" s="19"/>
      <c r="F355" s="19"/>
      <c r="G355" s="19"/>
      <c r="H355" s="21"/>
      <c r="I355" s="21"/>
      <c r="J355" s="19"/>
      <c r="K355" s="19"/>
      <c r="L355" s="19"/>
      <c r="M355" s="19"/>
    </row>
    <row r="356" ht="14.1" customHeight="1" spans="1:13">
      <c r="A356" s="22">
        <v>671</v>
      </c>
      <c r="B356" s="19"/>
      <c r="C356" s="19" t="s">
        <v>584</v>
      </c>
      <c r="D356" s="19" t="s">
        <v>39</v>
      </c>
      <c r="E356" s="19"/>
      <c r="F356" s="19"/>
      <c r="G356" s="19"/>
      <c r="H356" s="21"/>
      <c r="I356" s="21"/>
      <c r="J356" s="19"/>
      <c r="K356" s="19"/>
      <c r="L356" s="19"/>
      <c r="M356" s="24">
        <v>14046</v>
      </c>
    </row>
    <row r="357" ht="14.1" customHeight="1" spans="1:13">
      <c r="A357" s="19"/>
      <c r="B357" s="19"/>
      <c r="C357" s="19"/>
      <c r="D357" s="19"/>
      <c r="E357" s="19"/>
      <c r="F357" s="19"/>
      <c r="G357" s="19"/>
      <c r="H357" s="21"/>
      <c r="I357" s="21"/>
      <c r="J357" s="19"/>
      <c r="K357" s="19"/>
      <c r="L357" s="19"/>
      <c r="M357" s="19"/>
    </row>
    <row r="358" ht="14.1" customHeight="1" spans="1:13">
      <c r="A358" s="22">
        <v>672</v>
      </c>
      <c r="B358" s="19"/>
      <c r="C358" s="19" t="s">
        <v>738</v>
      </c>
      <c r="D358" s="19" t="s">
        <v>39</v>
      </c>
      <c r="E358" s="19"/>
      <c r="F358" s="19"/>
      <c r="G358" s="19"/>
      <c r="H358" s="21"/>
      <c r="I358" s="21"/>
      <c r="J358" s="19"/>
      <c r="K358" s="19"/>
      <c r="L358" s="19"/>
      <c r="M358" s="24">
        <v>13200</v>
      </c>
    </row>
    <row r="359" ht="14.1" customHeight="1" spans="1:13">
      <c r="A359" s="19"/>
      <c r="B359" s="19"/>
      <c r="C359" s="19"/>
      <c r="D359" s="19"/>
      <c r="E359" s="19"/>
      <c r="F359" s="19"/>
      <c r="G359" s="19"/>
      <c r="H359" s="21"/>
      <c r="I359" s="21"/>
      <c r="J359" s="19"/>
      <c r="K359" s="19"/>
      <c r="L359" s="19"/>
      <c r="M359" s="19"/>
    </row>
    <row r="360" ht="14.1" customHeight="1" spans="1:13">
      <c r="A360" s="19"/>
      <c r="B360" s="19"/>
      <c r="C360" s="20" t="s">
        <v>739</v>
      </c>
      <c r="D360" s="19"/>
      <c r="E360" s="19"/>
      <c r="F360" s="19"/>
      <c r="G360" s="19"/>
      <c r="H360" s="21"/>
      <c r="I360" s="21"/>
      <c r="J360" s="19"/>
      <c r="K360" s="19"/>
      <c r="L360" s="19"/>
      <c r="M360" s="19"/>
    </row>
    <row r="361" ht="14.1" customHeight="1" spans="1:13">
      <c r="A361" s="22">
        <v>673</v>
      </c>
      <c r="B361" s="19"/>
      <c r="C361" s="19" t="s">
        <v>740</v>
      </c>
      <c r="D361" s="19" t="s">
        <v>39</v>
      </c>
      <c r="E361" s="19"/>
      <c r="F361" s="19"/>
      <c r="G361" s="19"/>
      <c r="H361" s="21"/>
      <c r="I361" s="21"/>
      <c r="J361" s="19"/>
      <c r="K361" s="19"/>
      <c r="L361" s="19"/>
      <c r="M361" s="24">
        <v>19308</v>
      </c>
    </row>
    <row r="362" ht="14.1" customHeight="1" spans="1:13">
      <c r="A362" s="19"/>
      <c r="B362" s="19"/>
      <c r="C362" s="19"/>
      <c r="D362" s="19"/>
      <c r="E362" s="19"/>
      <c r="F362" s="19"/>
      <c r="G362" s="19"/>
      <c r="H362" s="21"/>
      <c r="I362" s="21"/>
      <c r="J362" s="19"/>
      <c r="K362" s="19"/>
      <c r="L362" s="19"/>
      <c r="M362" s="19"/>
    </row>
    <row r="363" ht="14.1" customHeight="1" spans="1:13">
      <c r="A363" s="22">
        <v>674</v>
      </c>
      <c r="B363" s="19"/>
      <c r="C363" s="19" t="s">
        <v>741</v>
      </c>
      <c r="D363" s="19" t="s">
        <v>39</v>
      </c>
      <c r="E363" s="19"/>
      <c r="F363" s="19"/>
      <c r="G363" s="19"/>
      <c r="H363" s="21"/>
      <c r="I363" s="21"/>
      <c r="J363" s="19"/>
      <c r="K363" s="19"/>
      <c r="L363" s="19"/>
      <c r="M363" s="24">
        <v>22244</v>
      </c>
    </row>
    <row r="364" ht="14.1" customHeight="1" spans="1:13">
      <c r="A364" s="19"/>
      <c r="B364" s="19"/>
      <c r="C364" s="19"/>
      <c r="D364" s="19"/>
      <c r="E364" s="19"/>
      <c r="F364" s="19"/>
      <c r="G364" s="19"/>
      <c r="H364" s="21"/>
      <c r="I364" s="21"/>
      <c r="J364" s="19"/>
      <c r="K364" s="19"/>
      <c r="L364" s="19"/>
      <c r="M364" s="19"/>
    </row>
    <row r="365" ht="14.1" customHeight="1" spans="1:13">
      <c r="A365" s="22">
        <v>675</v>
      </c>
      <c r="B365" s="19"/>
      <c r="C365" s="19" t="s">
        <v>742</v>
      </c>
      <c r="D365" s="19" t="s">
        <v>39</v>
      </c>
      <c r="E365" s="19"/>
      <c r="F365" s="19"/>
      <c r="G365" s="19"/>
      <c r="H365" s="21"/>
      <c r="I365" s="21"/>
      <c r="J365" s="19"/>
      <c r="K365" s="19"/>
      <c r="L365" s="19"/>
      <c r="M365" s="24">
        <v>22581</v>
      </c>
    </row>
    <row r="366" ht="14.1" customHeight="1" spans="1:13">
      <c r="A366" s="19"/>
      <c r="B366" s="19"/>
      <c r="C366" s="19"/>
      <c r="D366" s="19"/>
      <c r="E366" s="19"/>
      <c r="F366" s="19"/>
      <c r="G366" s="19"/>
      <c r="H366" s="21"/>
      <c r="I366" s="21"/>
      <c r="J366" s="19"/>
      <c r="K366" s="19"/>
      <c r="L366" s="19"/>
      <c r="M366" s="19"/>
    </row>
    <row r="367" ht="14.1" customHeight="1" spans="1:13">
      <c r="A367" s="22">
        <v>676</v>
      </c>
      <c r="B367" s="19"/>
      <c r="C367" s="19" t="s">
        <v>743</v>
      </c>
      <c r="D367" s="19" t="s">
        <v>39</v>
      </c>
      <c r="E367" s="19"/>
      <c r="F367" s="19"/>
      <c r="G367" s="19"/>
      <c r="H367" s="21"/>
      <c r="I367" s="21"/>
      <c r="J367" s="19"/>
      <c r="K367" s="19"/>
      <c r="L367" s="24">
        <v>15925</v>
      </c>
      <c r="M367" s="19"/>
    </row>
    <row r="368" ht="14.1" customHeight="1" spans="1:13">
      <c r="A368" s="19"/>
      <c r="B368" s="19"/>
      <c r="C368" s="19"/>
      <c r="D368" s="19"/>
      <c r="E368" s="19"/>
      <c r="F368" s="19"/>
      <c r="G368" s="19"/>
      <c r="H368" s="21"/>
      <c r="I368" s="21"/>
      <c r="J368" s="19"/>
      <c r="K368" s="19"/>
      <c r="L368" s="19"/>
      <c r="M368" s="19"/>
    </row>
    <row r="369" ht="14.1" customHeight="1" spans="1:13">
      <c r="A369" s="2"/>
      <c r="B369" s="2"/>
      <c r="C369" s="2" t="s">
        <v>380</v>
      </c>
      <c r="D369" s="2"/>
      <c r="E369" s="2"/>
      <c r="F369" s="2"/>
      <c r="G369" s="2"/>
      <c r="H369" s="4"/>
      <c r="I369" s="4"/>
      <c r="J369" s="2"/>
      <c r="K369" s="2"/>
      <c r="L369" s="2"/>
      <c r="M369" s="2"/>
    </row>
    <row r="370" ht="14.1" customHeight="1" spans="1:13">
      <c r="A370" s="6"/>
      <c r="B370" s="5"/>
      <c r="C370" s="5" t="s">
        <v>586</v>
      </c>
      <c r="D370" s="5"/>
      <c r="E370" s="6"/>
      <c r="F370" s="6"/>
      <c r="G370" s="6"/>
      <c r="H370" s="8"/>
      <c r="I370" s="8"/>
      <c r="J370" s="6"/>
      <c r="K370" s="6"/>
      <c r="L370" s="6"/>
      <c r="M370" s="6"/>
    </row>
    <row r="371" ht="14.1" customHeight="1" spans="1:13">
      <c r="A371" s="5"/>
      <c r="B371" s="5"/>
      <c r="C371" s="6"/>
      <c r="D371" s="5"/>
      <c r="E371" s="5"/>
      <c r="F371" s="5"/>
      <c r="G371" s="5"/>
      <c r="H371" s="11"/>
      <c r="I371" s="11"/>
      <c r="J371" s="5"/>
      <c r="K371" s="5"/>
      <c r="L371" s="5"/>
      <c r="M371" s="5"/>
    </row>
    <row r="372" ht="14.1" customHeight="1" spans="1:13">
      <c r="A372" s="6"/>
      <c r="B372" s="5"/>
      <c r="C372" s="6"/>
      <c r="D372" s="5"/>
      <c r="E372" s="6"/>
      <c r="F372" s="6"/>
      <c r="G372" s="6"/>
      <c r="H372" s="8"/>
      <c r="I372" s="8"/>
      <c r="J372" s="6"/>
      <c r="K372" s="6"/>
      <c r="L372" s="6"/>
      <c r="M372" s="6"/>
    </row>
    <row r="373" ht="14.1" customHeight="1" spans="1:13">
      <c r="A373" s="25">
        <v>677</v>
      </c>
      <c r="B373" s="14"/>
      <c r="C373" s="31"/>
      <c r="D373" s="14"/>
      <c r="E373" s="26">
        <v>3055</v>
      </c>
      <c r="F373" s="26">
        <v>3642</v>
      </c>
      <c r="G373" s="26">
        <v>4503</v>
      </c>
      <c r="H373" s="27">
        <v>5130</v>
      </c>
      <c r="I373" s="27">
        <v>6521</v>
      </c>
      <c r="J373" s="26">
        <v>8523</v>
      </c>
      <c r="K373" s="26">
        <v>10420</v>
      </c>
      <c r="L373" s="26">
        <v>12828</v>
      </c>
      <c r="M373" s="26">
        <v>17061</v>
      </c>
    </row>
    <row r="374" ht="14.1" customHeight="1" spans="1:13">
      <c r="A374" s="19"/>
      <c r="B374" s="19"/>
      <c r="C374" s="19"/>
      <c r="D374" s="19"/>
      <c r="E374" s="19"/>
      <c r="F374" s="19"/>
      <c r="G374" s="19"/>
      <c r="H374" s="21"/>
      <c r="I374" s="21"/>
      <c r="J374" s="19"/>
      <c r="K374" s="19"/>
      <c r="L374" s="19"/>
      <c r="M374" s="19"/>
    </row>
  </sheetData>
  <mergeCells count="2">
    <mergeCell ref="B369:B373"/>
    <mergeCell ref="D369:D37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6"/>
  <sheetViews>
    <sheetView topLeftCell="B1" workbookViewId="0">
      <selection activeCell="D7" sqref="D7"/>
    </sheetView>
  </sheetViews>
  <sheetFormatPr defaultColWidth="11.4259259259259" defaultRowHeight="14.4"/>
  <cols>
    <col min="1" max="2" width="12.712962962963" customWidth="1"/>
    <col min="3" max="3" width="31.287037037037" customWidth="1"/>
    <col min="4" max="7" width="12.712962962963" customWidth="1"/>
    <col min="8" max="9" width="12.712962962963" style="1" customWidth="1"/>
    <col min="10" max="13" width="12.712962962963" customWidth="1"/>
  </cols>
  <sheetData>
    <row r="1" spans="1:13">
      <c r="E1" s="35">
        <v>2009</v>
      </c>
      <c r="F1" s="35">
        <v>2010</v>
      </c>
      <c r="G1" s="35">
        <v>2011</v>
      </c>
      <c r="H1" s="35">
        <v>2012</v>
      </c>
      <c r="I1" s="35">
        <v>2013</v>
      </c>
      <c r="J1" s="35">
        <v>2014</v>
      </c>
      <c r="K1" s="35">
        <v>2015</v>
      </c>
      <c r="L1" s="35">
        <v>2016</v>
      </c>
      <c r="M1" s="35">
        <v>2017</v>
      </c>
    </row>
    <row r="2" ht="32.25" customHeight="1" spans="1:13">
      <c r="A2" s="19"/>
      <c r="B2" s="19"/>
      <c r="C2" s="36" t="s">
        <v>744</v>
      </c>
      <c r="D2" s="34" t="s">
        <v>26</v>
      </c>
      <c r="E2" s="18" t="s">
        <v>27</v>
      </c>
      <c r="F2" s="18" t="s">
        <v>28</v>
      </c>
      <c r="G2" s="18" t="s">
        <v>29</v>
      </c>
      <c r="H2" s="18" t="s">
        <v>30</v>
      </c>
      <c r="I2" s="18" t="s">
        <v>31</v>
      </c>
      <c r="J2" s="18" t="s">
        <v>32</v>
      </c>
      <c r="K2" s="18" t="s">
        <v>33</v>
      </c>
      <c r="L2" s="18" t="s">
        <v>34</v>
      </c>
      <c r="M2" s="18" t="s">
        <v>35</v>
      </c>
    </row>
    <row r="3" ht="14.1" customHeight="1" spans="1:13">
      <c r="A3" s="19"/>
      <c r="B3" s="19"/>
      <c r="C3" s="20" t="s">
        <v>745</v>
      </c>
      <c r="D3" s="19"/>
      <c r="E3" s="19"/>
      <c r="F3" s="19"/>
      <c r="G3" s="19"/>
      <c r="H3" s="21"/>
      <c r="I3" s="21"/>
      <c r="J3" s="19"/>
      <c r="K3" s="19"/>
      <c r="L3" s="19"/>
      <c r="M3" s="19"/>
    </row>
    <row r="4" ht="14.1" customHeight="1" spans="1:13">
      <c r="A4" s="22">
        <v>678</v>
      </c>
      <c r="B4" s="19"/>
      <c r="C4" s="19" t="s">
        <v>746</v>
      </c>
      <c r="D4" s="19" t="s">
        <v>39</v>
      </c>
      <c r="E4" s="24">
        <v>50200</v>
      </c>
      <c r="F4" s="19"/>
      <c r="G4" s="24">
        <v>54600</v>
      </c>
      <c r="H4" s="21"/>
      <c r="I4" s="21"/>
      <c r="J4" s="19"/>
      <c r="K4" s="19"/>
      <c r="L4" s="19"/>
      <c r="M4" s="19"/>
    </row>
    <row r="5" ht="14.1" customHeight="1" spans="1:13">
      <c r="A5" s="19"/>
      <c r="B5" s="19"/>
      <c r="C5" s="19"/>
      <c r="D5" s="19"/>
      <c r="E5" s="19"/>
      <c r="F5" s="19"/>
      <c r="G5" s="19"/>
      <c r="H5" s="21"/>
      <c r="I5" s="21"/>
      <c r="J5" s="19"/>
      <c r="K5" s="19"/>
      <c r="L5" s="19"/>
      <c r="M5" s="19"/>
    </row>
    <row r="6" ht="14.1" customHeight="1" spans="1:13">
      <c r="A6" s="22">
        <v>679</v>
      </c>
      <c r="B6" s="19"/>
      <c r="C6" s="19" t="s">
        <v>747</v>
      </c>
      <c r="D6" s="19" t="s">
        <v>39</v>
      </c>
      <c r="E6" s="19"/>
      <c r="F6" s="19"/>
      <c r="G6" s="19"/>
      <c r="H6" s="21"/>
      <c r="I6" s="21"/>
      <c r="J6" s="24">
        <v>67600</v>
      </c>
      <c r="K6" s="19"/>
      <c r="L6" s="19"/>
      <c r="M6" s="19"/>
    </row>
    <row r="7" ht="14.1" customHeight="1" spans="1:13">
      <c r="A7" s="19"/>
      <c r="B7" s="19"/>
      <c r="C7" s="19"/>
      <c r="D7" s="19"/>
      <c r="E7" s="19"/>
      <c r="F7" s="19"/>
      <c r="G7" s="19"/>
      <c r="H7" s="21"/>
      <c r="I7" s="21"/>
      <c r="J7" s="19"/>
      <c r="K7" s="19"/>
      <c r="L7" s="19"/>
      <c r="M7" s="19"/>
    </row>
    <row r="8" ht="14.1" customHeight="1" spans="1:13">
      <c r="A8" s="22">
        <v>680</v>
      </c>
      <c r="B8" s="19"/>
      <c r="C8" s="19" t="s">
        <v>748</v>
      </c>
      <c r="D8" s="19" t="s">
        <v>39</v>
      </c>
      <c r="E8" s="19"/>
      <c r="F8" s="19"/>
      <c r="G8" s="19"/>
      <c r="H8" s="23">
        <v>57300</v>
      </c>
      <c r="I8" s="23">
        <v>59500</v>
      </c>
      <c r="J8" s="24">
        <v>67150</v>
      </c>
      <c r="K8" s="19"/>
      <c r="L8" s="19"/>
      <c r="M8" s="19"/>
    </row>
    <row r="9" ht="14.1" customHeight="1" spans="1:13">
      <c r="A9" s="19"/>
      <c r="B9" s="19"/>
      <c r="C9" s="19"/>
      <c r="D9" s="19"/>
      <c r="E9" s="19"/>
      <c r="F9" s="19"/>
      <c r="G9" s="19"/>
      <c r="H9" s="21"/>
      <c r="I9" s="21"/>
      <c r="J9" s="19"/>
      <c r="K9" s="19"/>
      <c r="L9" s="19"/>
      <c r="M9" s="19"/>
    </row>
    <row r="10" ht="14.1" customHeight="1" spans="1:13">
      <c r="A10" s="22">
        <v>681</v>
      </c>
      <c r="B10" s="19"/>
      <c r="C10" s="19" t="s">
        <v>749</v>
      </c>
      <c r="D10" s="19" t="s">
        <v>39</v>
      </c>
      <c r="E10" s="19"/>
      <c r="F10" s="19"/>
      <c r="G10" s="19"/>
      <c r="H10" s="23">
        <v>65400</v>
      </c>
      <c r="I10" s="21"/>
      <c r="J10" s="24">
        <v>68600</v>
      </c>
      <c r="K10" s="19"/>
      <c r="L10" s="19"/>
      <c r="M10" s="19"/>
    </row>
    <row r="11" ht="14.1" customHeight="1" spans="1:13">
      <c r="A11" s="19"/>
      <c r="B11" s="19"/>
      <c r="C11" s="19"/>
      <c r="D11" s="19"/>
      <c r="E11" s="19"/>
      <c r="F11" s="19"/>
      <c r="G11" s="19"/>
      <c r="H11" s="21"/>
      <c r="I11" s="21"/>
      <c r="J11" s="19"/>
      <c r="K11" s="19"/>
      <c r="L11" s="19"/>
      <c r="M11" s="19"/>
    </row>
    <row r="12" ht="14.1" customHeight="1" spans="1:13">
      <c r="A12" s="22">
        <v>682</v>
      </c>
      <c r="B12" s="19"/>
      <c r="C12" s="19" t="s">
        <v>750</v>
      </c>
      <c r="D12" s="19" t="s">
        <v>39</v>
      </c>
      <c r="E12" s="24">
        <v>54400</v>
      </c>
      <c r="F12" s="19"/>
      <c r="G12" s="24">
        <v>59400</v>
      </c>
      <c r="H12" s="21"/>
      <c r="I12" s="23">
        <v>65700</v>
      </c>
      <c r="J12" s="19"/>
      <c r="K12" s="19"/>
      <c r="L12" s="19"/>
      <c r="M12" s="19"/>
    </row>
    <row r="13" ht="14.1" customHeight="1" spans="1:13">
      <c r="A13" s="19"/>
      <c r="B13" s="19"/>
      <c r="C13" s="19"/>
      <c r="D13" s="19"/>
      <c r="E13" s="19"/>
      <c r="F13" s="19"/>
      <c r="G13" s="19"/>
      <c r="H13" s="21"/>
      <c r="I13" s="21"/>
      <c r="J13" s="19"/>
      <c r="K13" s="19"/>
      <c r="L13" s="19"/>
      <c r="M13" s="19"/>
    </row>
    <row r="14" ht="14.1" customHeight="1" spans="1:13">
      <c r="A14" s="22">
        <v>683</v>
      </c>
      <c r="B14" s="19"/>
      <c r="C14" s="19" t="s">
        <v>751</v>
      </c>
      <c r="D14" s="19" t="s">
        <v>39</v>
      </c>
      <c r="E14" s="19"/>
      <c r="F14" s="19"/>
      <c r="G14" s="19"/>
      <c r="H14" s="21"/>
      <c r="I14" s="21"/>
      <c r="J14" s="19"/>
      <c r="K14" s="24">
        <v>84000</v>
      </c>
      <c r="L14" s="24">
        <v>101250</v>
      </c>
      <c r="M14" s="24">
        <v>116438</v>
      </c>
    </row>
    <row r="15" ht="14.1" customHeight="1" spans="1:13">
      <c r="A15" s="19"/>
      <c r="B15" s="19"/>
      <c r="C15" s="19"/>
      <c r="D15" s="19"/>
      <c r="E15" s="19"/>
      <c r="F15" s="19"/>
      <c r="G15" s="19"/>
      <c r="H15" s="21"/>
      <c r="I15" s="21"/>
      <c r="J15" s="19"/>
      <c r="K15" s="19"/>
      <c r="L15" s="19"/>
      <c r="M15" s="19"/>
    </row>
    <row r="16" ht="14.1" customHeight="1" spans="1:13">
      <c r="A16" s="22">
        <v>684</v>
      </c>
      <c r="B16" s="19"/>
      <c r="C16" s="19" t="s">
        <v>752</v>
      </c>
      <c r="D16" s="19" t="s">
        <v>39</v>
      </c>
      <c r="E16" s="19"/>
      <c r="F16" s="19"/>
      <c r="G16" s="19"/>
      <c r="H16" s="21"/>
      <c r="I16" s="21"/>
      <c r="J16" s="19"/>
      <c r="K16" s="19"/>
      <c r="L16" s="19"/>
      <c r="M16" s="24">
        <v>205250</v>
      </c>
    </row>
    <row r="17" ht="14.1" customHeight="1" spans="1:13">
      <c r="A17" s="19"/>
      <c r="B17" s="19"/>
      <c r="C17" s="19"/>
      <c r="D17" s="19"/>
      <c r="E17" s="19"/>
      <c r="F17" s="19"/>
      <c r="G17" s="19"/>
      <c r="H17" s="21"/>
      <c r="I17" s="21"/>
      <c r="J17" s="19"/>
      <c r="K17" s="19"/>
      <c r="L17" s="19"/>
      <c r="M17" s="19"/>
    </row>
    <row r="18" ht="14.1" customHeight="1" spans="1:13">
      <c r="A18" s="22">
        <v>685</v>
      </c>
      <c r="B18" s="19"/>
      <c r="C18" s="19" t="s">
        <v>753</v>
      </c>
      <c r="D18" s="19" t="s">
        <v>39</v>
      </c>
      <c r="E18" s="19"/>
      <c r="F18" s="19"/>
      <c r="G18" s="19"/>
      <c r="H18" s="21"/>
      <c r="I18" s="21"/>
      <c r="J18" s="19"/>
      <c r="K18" s="19"/>
      <c r="L18" s="19"/>
      <c r="M18" s="24">
        <v>150000</v>
      </c>
    </row>
    <row r="19" ht="14.1" customHeight="1" spans="1:13">
      <c r="A19" s="19"/>
      <c r="B19" s="19"/>
      <c r="C19" s="19"/>
      <c r="D19" s="19"/>
      <c r="E19" s="19"/>
      <c r="F19" s="19"/>
      <c r="G19" s="19"/>
      <c r="H19" s="21"/>
      <c r="I19" s="21"/>
      <c r="J19" s="19"/>
      <c r="K19" s="19"/>
      <c r="L19" s="19"/>
      <c r="M19" s="19"/>
    </row>
    <row r="20" ht="14.1" customHeight="1" spans="1:13">
      <c r="A20" s="22">
        <v>686</v>
      </c>
      <c r="B20" s="19"/>
      <c r="C20" s="19" t="s">
        <v>754</v>
      </c>
      <c r="D20" s="19" t="s">
        <v>39</v>
      </c>
      <c r="E20" s="19"/>
      <c r="F20" s="19"/>
      <c r="G20" s="19"/>
      <c r="H20" s="21"/>
      <c r="I20" s="21"/>
      <c r="J20" s="19"/>
      <c r="K20" s="19"/>
      <c r="L20" s="19"/>
      <c r="M20" s="24">
        <v>143000</v>
      </c>
    </row>
    <row r="21" ht="14.1" customHeight="1" spans="1:13">
      <c r="A21" s="19"/>
      <c r="B21" s="19"/>
      <c r="C21" s="19"/>
      <c r="D21" s="19"/>
      <c r="E21" s="19"/>
      <c r="F21" s="19"/>
      <c r="G21" s="19"/>
      <c r="H21" s="21"/>
      <c r="I21" s="21"/>
      <c r="J21" s="19"/>
      <c r="K21" s="19"/>
      <c r="L21" s="19"/>
      <c r="M21" s="19"/>
    </row>
    <row r="22" ht="14.1" customHeight="1" spans="1:13">
      <c r="A22" s="22">
        <v>687</v>
      </c>
      <c r="B22" s="19"/>
      <c r="C22" s="19" t="s">
        <v>755</v>
      </c>
      <c r="D22" s="19" t="s">
        <v>39</v>
      </c>
      <c r="E22" s="19"/>
      <c r="F22" s="19"/>
      <c r="G22" s="19"/>
      <c r="H22" s="21"/>
      <c r="I22" s="23">
        <v>116900</v>
      </c>
      <c r="J22" s="24">
        <v>119300</v>
      </c>
      <c r="K22" s="24">
        <v>121700</v>
      </c>
      <c r="L22" s="24">
        <v>152000</v>
      </c>
      <c r="M22" s="19"/>
    </row>
    <row r="23" ht="14.1" customHeight="1" spans="1:13">
      <c r="A23" s="19"/>
      <c r="B23" s="19"/>
      <c r="C23" s="19"/>
      <c r="D23" s="19"/>
      <c r="E23" s="19"/>
      <c r="F23" s="19"/>
      <c r="G23" s="19"/>
      <c r="H23" s="21"/>
      <c r="I23" s="21"/>
      <c r="J23" s="19"/>
      <c r="K23" s="19"/>
      <c r="L23" s="19"/>
      <c r="M23" s="19"/>
    </row>
    <row r="24" ht="14.1" customHeight="1" spans="1:13">
      <c r="A24" s="22">
        <v>688</v>
      </c>
      <c r="B24" s="19"/>
      <c r="C24" s="19" t="s">
        <v>756</v>
      </c>
      <c r="D24" s="19" t="s">
        <v>39</v>
      </c>
      <c r="E24" s="19"/>
      <c r="F24" s="19"/>
      <c r="G24" s="19"/>
      <c r="H24" s="21"/>
      <c r="I24" s="21"/>
      <c r="J24" s="19"/>
      <c r="K24" s="19"/>
      <c r="L24" s="19"/>
      <c r="M24" s="24">
        <v>105700</v>
      </c>
    </row>
    <row r="25" ht="14.1" customHeight="1" spans="1:13">
      <c r="A25" s="19"/>
      <c r="B25" s="19"/>
      <c r="C25" s="19"/>
      <c r="D25" s="19"/>
      <c r="E25" s="19"/>
      <c r="F25" s="19"/>
      <c r="G25" s="19"/>
      <c r="H25" s="21"/>
      <c r="I25" s="21"/>
      <c r="J25" s="19"/>
      <c r="K25" s="19"/>
      <c r="L25" s="19"/>
      <c r="M25" s="19"/>
    </row>
    <row r="26" ht="14.1" customHeight="1" spans="1:13">
      <c r="A26" s="22">
        <v>689</v>
      </c>
      <c r="B26" s="19"/>
      <c r="C26" s="19" t="s">
        <v>757</v>
      </c>
      <c r="D26" s="19" t="s">
        <v>39</v>
      </c>
      <c r="E26" s="19"/>
      <c r="F26" s="19"/>
      <c r="G26" s="19"/>
      <c r="H26" s="21"/>
      <c r="I26" s="21"/>
      <c r="J26" s="24">
        <v>150300</v>
      </c>
      <c r="K26" s="24">
        <v>150300</v>
      </c>
      <c r="L26" s="19"/>
      <c r="M26" s="19"/>
    </row>
    <row r="27" ht="14.1" customHeight="1" spans="1:13">
      <c r="A27" s="19"/>
      <c r="B27" s="19"/>
      <c r="C27" s="19"/>
      <c r="D27" s="19"/>
      <c r="E27" s="19"/>
      <c r="F27" s="19"/>
      <c r="G27" s="19"/>
      <c r="H27" s="21"/>
      <c r="I27" s="21"/>
      <c r="J27" s="19"/>
      <c r="K27" s="19"/>
      <c r="L27" s="19"/>
      <c r="M27" s="19"/>
    </row>
    <row r="28" ht="14.1" customHeight="1" spans="1:13">
      <c r="A28" s="19"/>
      <c r="B28" s="19"/>
      <c r="C28" s="20" t="s">
        <v>164</v>
      </c>
      <c r="D28" s="19"/>
      <c r="E28" s="19"/>
      <c r="F28" s="19"/>
      <c r="G28" s="19"/>
      <c r="H28" s="21"/>
      <c r="I28" s="21"/>
      <c r="J28" s="19"/>
      <c r="K28" s="19"/>
      <c r="L28" s="19"/>
      <c r="M28" s="19"/>
    </row>
    <row r="29" ht="14.1" customHeight="1" spans="1:13">
      <c r="A29" s="22">
        <v>690</v>
      </c>
      <c r="B29" s="19"/>
      <c r="C29" s="19" t="s">
        <v>758</v>
      </c>
      <c r="D29" s="19" t="s">
        <v>39</v>
      </c>
      <c r="E29" s="19"/>
      <c r="F29" s="19"/>
      <c r="G29" s="19"/>
      <c r="H29" s="21"/>
      <c r="I29" s="21"/>
      <c r="J29" s="19"/>
      <c r="K29" s="19"/>
      <c r="L29" s="19"/>
      <c r="M29" s="24">
        <v>131150</v>
      </c>
    </row>
    <row r="30" ht="14.1" customHeight="1" spans="1:13">
      <c r="A30" s="19"/>
      <c r="B30" s="19"/>
      <c r="C30" s="19"/>
      <c r="D30" s="19"/>
      <c r="E30" s="19"/>
      <c r="F30" s="19"/>
      <c r="G30" s="19"/>
      <c r="H30" s="21"/>
      <c r="I30" s="21"/>
      <c r="J30" s="19"/>
      <c r="K30" s="19"/>
      <c r="L30" s="19"/>
      <c r="M30" s="19"/>
    </row>
    <row r="31" ht="14.1" customHeight="1" spans="1:13">
      <c r="A31" s="19"/>
      <c r="B31" s="19"/>
      <c r="C31" s="20" t="s">
        <v>759</v>
      </c>
      <c r="D31" s="19"/>
      <c r="E31" s="19"/>
      <c r="F31" s="19"/>
      <c r="G31" s="19"/>
      <c r="H31" s="21"/>
      <c r="I31" s="21"/>
      <c r="J31" s="19"/>
      <c r="K31" s="19"/>
      <c r="L31" s="19"/>
      <c r="M31" s="19"/>
    </row>
    <row r="32" ht="14.1" customHeight="1" spans="1:13">
      <c r="A32" s="22">
        <v>691</v>
      </c>
      <c r="B32" s="19"/>
      <c r="C32" s="19" t="s">
        <v>760</v>
      </c>
      <c r="D32" s="19" t="s">
        <v>39</v>
      </c>
      <c r="E32" s="19"/>
      <c r="F32" s="19"/>
      <c r="G32" s="19"/>
      <c r="H32" s="21"/>
      <c r="I32" s="23">
        <v>108900</v>
      </c>
      <c r="J32" s="19"/>
      <c r="K32" s="19"/>
      <c r="L32" s="19"/>
      <c r="M32" s="19"/>
    </row>
    <row r="33" ht="14.1" customHeight="1" spans="1:13">
      <c r="A33" s="19"/>
      <c r="B33" s="19"/>
      <c r="C33" s="19"/>
      <c r="D33" s="19"/>
      <c r="E33" s="19"/>
      <c r="F33" s="19"/>
      <c r="G33" s="19"/>
      <c r="H33" s="21"/>
      <c r="I33" s="21"/>
      <c r="J33" s="19"/>
      <c r="K33" s="19"/>
      <c r="L33" s="19"/>
      <c r="M33" s="19"/>
    </row>
    <row r="34" ht="14.1" customHeight="1" spans="1:13">
      <c r="A34" s="22">
        <v>692</v>
      </c>
      <c r="B34" s="19"/>
      <c r="C34" s="19" t="s">
        <v>761</v>
      </c>
      <c r="D34" s="19" t="s">
        <v>39</v>
      </c>
      <c r="E34" s="19"/>
      <c r="F34" s="19"/>
      <c r="G34" s="19"/>
      <c r="H34" s="21"/>
      <c r="I34" s="21"/>
      <c r="J34" s="24">
        <v>102700</v>
      </c>
      <c r="K34" s="24">
        <v>110800</v>
      </c>
      <c r="L34" s="24">
        <v>136800</v>
      </c>
      <c r="M34" s="19"/>
    </row>
    <row r="35" ht="14.1" customHeight="1" spans="1:13">
      <c r="A35" s="19"/>
      <c r="B35" s="19"/>
      <c r="C35" s="19"/>
      <c r="D35" s="19"/>
      <c r="E35" s="19"/>
      <c r="F35" s="19"/>
      <c r="G35" s="19"/>
      <c r="H35" s="21"/>
      <c r="I35" s="21"/>
      <c r="J35" s="19"/>
      <c r="K35" s="19"/>
      <c r="L35" s="19"/>
      <c r="M35" s="19"/>
    </row>
    <row r="36" ht="14.1" customHeight="1" spans="1:13">
      <c r="A36" s="22">
        <v>693</v>
      </c>
      <c r="B36" s="19"/>
      <c r="C36" s="19" t="s">
        <v>762</v>
      </c>
      <c r="D36" s="19" t="s">
        <v>39</v>
      </c>
      <c r="E36" s="19"/>
      <c r="F36" s="19"/>
      <c r="G36" s="24">
        <v>81500</v>
      </c>
      <c r="H36" s="23">
        <v>86100</v>
      </c>
      <c r="I36" s="23">
        <v>95800</v>
      </c>
      <c r="J36" s="19"/>
      <c r="K36" s="19"/>
      <c r="L36" s="19"/>
      <c r="M36" s="19"/>
    </row>
    <row r="37" ht="14.1" customHeight="1" spans="1:13">
      <c r="A37" s="19"/>
      <c r="B37" s="19"/>
      <c r="C37" s="19"/>
      <c r="D37" s="19"/>
      <c r="E37" s="19"/>
      <c r="F37" s="19"/>
      <c r="G37" s="19"/>
      <c r="H37" s="21"/>
      <c r="I37" s="21"/>
      <c r="J37" s="19"/>
      <c r="K37" s="19"/>
      <c r="L37" s="19"/>
      <c r="M37" s="19"/>
    </row>
    <row r="38" ht="14.1" customHeight="1" spans="1:13">
      <c r="A38" s="22">
        <v>694</v>
      </c>
      <c r="B38" s="19"/>
      <c r="C38" s="19" t="s">
        <v>763</v>
      </c>
      <c r="D38" s="19" t="s">
        <v>39</v>
      </c>
      <c r="E38" s="19"/>
      <c r="F38" s="19"/>
      <c r="G38" s="19"/>
      <c r="H38" s="21"/>
      <c r="I38" s="21"/>
      <c r="J38" s="24">
        <v>120000</v>
      </c>
      <c r="K38" s="24">
        <v>127100</v>
      </c>
      <c r="L38" s="24">
        <v>149700</v>
      </c>
      <c r="M38" s="19"/>
    </row>
    <row r="39" ht="14.1" customHeight="1" spans="1:13">
      <c r="A39" s="19"/>
      <c r="B39" s="19"/>
      <c r="C39" s="19"/>
      <c r="D39" s="19"/>
      <c r="E39" s="19"/>
      <c r="F39" s="19"/>
      <c r="G39" s="19"/>
      <c r="H39" s="21"/>
      <c r="I39" s="21"/>
      <c r="J39" s="19"/>
      <c r="K39" s="19"/>
      <c r="L39" s="19"/>
      <c r="M39" s="19"/>
    </row>
    <row r="40" ht="14.1" customHeight="1" spans="1:13">
      <c r="A40" s="22">
        <v>695</v>
      </c>
      <c r="B40" s="19"/>
      <c r="C40" s="19" t="s">
        <v>764</v>
      </c>
      <c r="D40" s="19" t="s">
        <v>39</v>
      </c>
      <c r="E40" s="19"/>
      <c r="F40" s="19"/>
      <c r="G40" s="19"/>
      <c r="H40" s="21"/>
      <c r="I40" s="21"/>
      <c r="J40" s="24">
        <v>112100</v>
      </c>
      <c r="K40" s="24">
        <v>117100</v>
      </c>
      <c r="L40" s="24">
        <v>140100</v>
      </c>
      <c r="M40" s="19"/>
    </row>
    <row r="41" ht="14.1" customHeight="1" spans="1:13">
      <c r="A41" s="19"/>
      <c r="B41" s="19"/>
      <c r="C41" s="19"/>
      <c r="D41" s="19"/>
      <c r="E41" s="19"/>
      <c r="F41" s="19"/>
      <c r="G41" s="19"/>
      <c r="H41" s="21"/>
      <c r="I41" s="21"/>
      <c r="J41" s="19"/>
      <c r="K41" s="19"/>
      <c r="L41" s="19"/>
      <c r="M41" s="19"/>
    </row>
    <row r="42" ht="14.1" customHeight="1" spans="1:13">
      <c r="A42" s="22">
        <v>696</v>
      </c>
      <c r="B42" s="19"/>
      <c r="C42" s="19" t="s">
        <v>765</v>
      </c>
      <c r="D42" s="19" t="s">
        <v>39</v>
      </c>
      <c r="E42" s="24">
        <v>143700</v>
      </c>
      <c r="F42" s="24">
        <v>146450</v>
      </c>
      <c r="G42" s="24">
        <v>149200</v>
      </c>
      <c r="H42" s="23">
        <v>145550</v>
      </c>
      <c r="I42" s="23">
        <v>158700</v>
      </c>
      <c r="J42" s="24">
        <v>168500</v>
      </c>
      <c r="K42" s="19"/>
      <c r="L42" s="19"/>
      <c r="M42" s="19"/>
    </row>
    <row r="43" ht="14.1" customHeight="1" spans="1:13">
      <c r="A43" s="19"/>
      <c r="B43" s="19"/>
      <c r="C43" s="19"/>
      <c r="D43" s="19"/>
      <c r="E43" s="19"/>
      <c r="F43" s="19"/>
      <c r="G43" s="19"/>
      <c r="H43" s="21"/>
      <c r="I43" s="21"/>
      <c r="J43" s="19"/>
      <c r="K43" s="19"/>
      <c r="L43" s="19"/>
      <c r="M43" s="19"/>
    </row>
    <row r="44" ht="14.1" customHeight="1" spans="1:13">
      <c r="A44" s="22">
        <v>697</v>
      </c>
      <c r="B44" s="19"/>
      <c r="C44" s="19" t="s">
        <v>766</v>
      </c>
      <c r="D44" s="19" t="s">
        <v>39</v>
      </c>
      <c r="E44" s="24">
        <v>68050</v>
      </c>
      <c r="F44" s="19"/>
      <c r="G44" s="19"/>
      <c r="H44" s="21"/>
      <c r="I44" s="21"/>
      <c r="J44" s="19"/>
      <c r="K44" s="19"/>
      <c r="L44" s="19"/>
      <c r="M44" s="19"/>
    </row>
    <row r="45" ht="14.1" customHeight="1" spans="1:13">
      <c r="A45" s="19"/>
      <c r="B45" s="19"/>
      <c r="C45" s="19"/>
      <c r="D45" s="19"/>
      <c r="E45" s="19"/>
      <c r="F45" s="19"/>
      <c r="G45" s="19"/>
      <c r="H45" s="21"/>
      <c r="I45" s="21"/>
      <c r="J45" s="19"/>
      <c r="K45" s="19"/>
      <c r="L45" s="19"/>
      <c r="M45" s="19"/>
    </row>
    <row r="46" ht="14.1" customHeight="1" spans="1:13">
      <c r="A46" s="22">
        <v>698</v>
      </c>
      <c r="B46" s="19"/>
      <c r="C46" s="19" t="s">
        <v>767</v>
      </c>
      <c r="D46" s="19" t="s">
        <v>39</v>
      </c>
      <c r="E46" s="19"/>
      <c r="F46" s="19"/>
      <c r="G46" s="19"/>
      <c r="H46" s="21"/>
      <c r="I46" s="21"/>
      <c r="J46" s="19"/>
      <c r="K46" s="24">
        <v>99500</v>
      </c>
      <c r="L46" s="24">
        <v>111800</v>
      </c>
      <c r="M46" s="19"/>
    </row>
    <row r="47" ht="14.1" customHeight="1" spans="1:13">
      <c r="A47" s="19"/>
      <c r="B47" s="19"/>
      <c r="C47" s="19"/>
      <c r="D47" s="19"/>
      <c r="E47" s="19"/>
      <c r="F47" s="19"/>
      <c r="G47" s="19"/>
      <c r="H47" s="21"/>
      <c r="I47" s="21"/>
      <c r="J47" s="19"/>
      <c r="K47" s="19"/>
      <c r="L47" s="19"/>
      <c r="M47" s="19"/>
    </row>
    <row r="48" ht="14.1" customHeight="1" spans="1:13">
      <c r="A48" s="22">
        <v>699</v>
      </c>
      <c r="B48" s="19"/>
      <c r="C48" s="19" t="s">
        <v>768</v>
      </c>
      <c r="D48" s="19" t="s">
        <v>39</v>
      </c>
      <c r="E48" s="19"/>
      <c r="F48" s="19"/>
      <c r="G48" s="19"/>
      <c r="H48" s="21"/>
      <c r="I48" s="21"/>
      <c r="J48" s="19"/>
      <c r="K48" s="19"/>
      <c r="L48" s="19"/>
      <c r="M48" s="24">
        <v>145100</v>
      </c>
    </row>
    <row r="49" ht="14.1" customHeight="1" spans="1:13">
      <c r="A49" s="19"/>
      <c r="B49" s="19"/>
      <c r="C49" s="19"/>
      <c r="D49" s="19"/>
      <c r="E49" s="19"/>
      <c r="F49" s="19"/>
      <c r="G49" s="19"/>
      <c r="H49" s="21"/>
      <c r="I49" s="21"/>
      <c r="J49" s="19"/>
      <c r="K49" s="19"/>
      <c r="L49" s="19"/>
      <c r="M49" s="19"/>
    </row>
    <row r="50" ht="14.1" customHeight="1" spans="1:13">
      <c r="A50" s="22">
        <v>700</v>
      </c>
      <c r="B50" s="19"/>
      <c r="C50" s="19" t="s">
        <v>769</v>
      </c>
      <c r="D50" s="19" t="s">
        <v>39</v>
      </c>
      <c r="E50" s="19"/>
      <c r="F50" s="19"/>
      <c r="G50" s="19"/>
      <c r="H50" s="21"/>
      <c r="I50" s="21"/>
      <c r="J50" s="19"/>
      <c r="K50" s="19"/>
      <c r="L50" s="19"/>
      <c r="M50" s="24">
        <v>165700</v>
      </c>
    </row>
    <row r="51" ht="14.1" customHeight="1" spans="1:13">
      <c r="A51" s="19"/>
      <c r="B51" s="19"/>
      <c r="C51" s="19"/>
      <c r="D51" s="19"/>
      <c r="E51" s="19"/>
      <c r="F51" s="19"/>
      <c r="G51" s="19"/>
      <c r="H51" s="21"/>
      <c r="I51" s="21"/>
      <c r="J51" s="19"/>
      <c r="K51" s="19"/>
      <c r="L51" s="19"/>
      <c r="M51" s="19"/>
    </row>
    <row r="52" ht="14.1" customHeight="1" spans="1:13">
      <c r="A52" s="22">
        <v>701</v>
      </c>
      <c r="B52" s="19"/>
      <c r="C52" s="19" t="s">
        <v>770</v>
      </c>
      <c r="D52" s="19" t="s">
        <v>39</v>
      </c>
      <c r="E52" s="24">
        <v>106700</v>
      </c>
      <c r="F52" s="24">
        <v>114200</v>
      </c>
      <c r="G52" s="24">
        <v>121700</v>
      </c>
      <c r="H52" s="23">
        <v>126750</v>
      </c>
      <c r="I52" s="23">
        <v>137300</v>
      </c>
      <c r="J52" s="24">
        <v>152100</v>
      </c>
      <c r="K52" s="19"/>
      <c r="L52" s="19"/>
      <c r="M52" s="19"/>
    </row>
    <row r="53" ht="14.1" customHeight="1" spans="1:13">
      <c r="A53" s="19"/>
      <c r="B53" s="19"/>
      <c r="C53" s="19"/>
      <c r="D53" s="19"/>
      <c r="E53" s="19"/>
      <c r="F53" s="19"/>
      <c r="G53" s="19"/>
      <c r="H53" s="21"/>
      <c r="I53" s="21"/>
      <c r="J53" s="19"/>
      <c r="K53" s="19"/>
      <c r="L53" s="19"/>
      <c r="M53" s="19"/>
    </row>
    <row r="54" ht="14.1" customHeight="1" spans="1:13">
      <c r="A54" s="22">
        <v>702</v>
      </c>
      <c r="B54" s="19"/>
      <c r="C54" s="19" t="s">
        <v>771</v>
      </c>
      <c r="D54" s="19" t="s">
        <v>39</v>
      </c>
      <c r="E54" s="19"/>
      <c r="F54" s="19"/>
      <c r="G54" s="19"/>
      <c r="H54" s="21"/>
      <c r="I54" s="21"/>
      <c r="J54" s="19"/>
      <c r="K54" s="19"/>
      <c r="L54" s="19"/>
      <c r="M54" s="24">
        <v>177900</v>
      </c>
    </row>
    <row r="55" ht="14.1" customHeight="1" spans="1:13">
      <c r="A55" s="19"/>
      <c r="B55" s="19"/>
      <c r="C55" s="19"/>
      <c r="D55" s="19"/>
      <c r="E55" s="19"/>
      <c r="F55" s="19"/>
      <c r="G55" s="19"/>
      <c r="H55" s="21"/>
      <c r="I55" s="21"/>
      <c r="J55" s="19"/>
      <c r="K55" s="19"/>
      <c r="L55" s="19"/>
      <c r="M55" s="19"/>
    </row>
    <row r="56" ht="14.1" customHeight="1" spans="1:13">
      <c r="A56" s="22">
        <v>703</v>
      </c>
      <c r="B56" s="19"/>
      <c r="C56" s="19" t="s">
        <v>772</v>
      </c>
      <c r="D56" s="19" t="s">
        <v>39</v>
      </c>
      <c r="E56" s="19"/>
      <c r="F56" s="24">
        <v>112000</v>
      </c>
      <c r="G56" s="19"/>
      <c r="H56" s="21"/>
      <c r="I56" s="21"/>
      <c r="J56" s="19"/>
      <c r="K56" s="19"/>
      <c r="L56" s="19"/>
      <c r="M56" s="19"/>
    </row>
    <row r="57" ht="14.1" customHeight="1" spans="1:13">
      <c r="A57" s="19"/>
      <c r="B57" s="19"/>
      <c r="C57" s="19"/>
      <c r="D57" s="19"/>
      <c r="E57" s="19"/>
      <c r="F57" s="19"/>
      <c r="G57" s="19"/>
      <c r="H57" s="21"/>
      <c r="I57" s="21"/>
      <c r="J57" s="19"/>
      <c r="K57" s="19"/>
      <c r="L57" s="19"/>
      <c r="M57" s="19"/>
    </row>
    <row r="58" ht="14.1" customHeight="1" spans="1:13">
      <c r="A58" s="22">
        <v>704</v>
      </c>
      <c r="B58" s="19"/>
      <c r="C58" s="19" t="s">
        <v>773</v>
      </c>
      <c r="D58" s="19" t="s">
        <v>39</v>
      </c>
      <c r="E58" s="19"/>
      <c r="F58" s="19"/>
      <c r="G58" s="19"/>
      <c r="H58" s="21"/>
      <c r="I58" s="21"/>
      <c r="J58" s="19"/>
      <c r="K58" s="19"/>
      <c r="L58" s="19"/>
      <c r="M58" s="24">
        <v>204600</v>
      </c>
    </row>
    <row r="59" ht="14.1" customHeight="1" spans="1:13">
      <c r="A59" s="19"/>
      <c r="B59" s="19"/>
      <c r="C59" s="19"/>
      <c r="D59" s="19"/>
      <c r="E59" s="19"/>
      <c r="F59" s="19"/>
      <c r="G59" s="19"/>
      <c r="H59" s="21"/>
      <c r="I59" s="21"/>
      <c r="J59" s="19"/>
      <c r="K59" s="19"/>
      <c r="L59" s="19"/>
      <c r="M59" s="19"/>
    </row>
    <row r="60" ht="14.1" customHeight="1" spans="1:13">
      <c r="A60" s="22">
        <v>705</v>
      </c>
      <c r="B60" s="19"/>
      <c r="C60" s="19" t="s">
        <v>774</v>
      </c>
      <c r="D60" s="19" t="s">
        <v>39</v>
      </c>
      <c r="E60" s="24">
        <v>91800</v>
      </c>
      <c r="F60" s="19"/>
      <c r="G60" s="19"/>
      <c r="H60" s="21"/>
      <c r="I60" s="21"/>
      <c r="J60" s="19"/>
      <c r="K60" s="19"/>
      <c r="L60" s="19"/>
      <c r="M60" s="19"/>
    </row>
    <row r="61" ht="14.1" customHeight="1" spans="1:13">
      <c r="A61" s="19"/>
      <c r="B61" s="19"/>
      <c r="C61" s="19"/>
      <c r="D61" s="19"/>
      <c r="E61" s="19"/>
      <c r="F61" s="19"/>
      <c r="G61" s="19"/>
      <c r="H61" s="21"/>
      <c r="I61" s="21"/>
      <c r="J61" s="19"/>
      <c r="K61" s="19"/>
      <c r="L61" s="19"/>
      <c r="M61" s="19"/>
    </row>
    <row r="62" ht="14.1" customHeight="1" spans="1:13">
      <c r="A62" s="19"/>
      <c r="B62" s="19"/>
      <c r="C62" s="20" t="s">
        <v>775</v>
      </c>
      <c r="D62" s="19"/>
      <c r="E62" s="19"/>
      <c r="F62" s="19"/>
      <c r="G62" s="19"/>
      <c r="H62" s="21"/>
      <c r="I62" s="21"/>
      <c r="J62" s="19"/>
      <c r="K62" s="19"/>
      <c r="L62" s="19"/>
      <c r="M62" s="19"/>
    </row>
    <row r="63" ht="14.1" customHeight="1" spans="1:13">
      <c r="A63" s="22">
        <v>706</v>
      </c>
      <c r="B63" s="19"/>
      <c r="C63" s="19">
        <v>360</v>
      </c>
      <c r="D63" s="19" t="s">
        <v>39</v>
      </c>
      <c r="E63" s="19"/>
      <c r="F63" s="24">
        <v>86500</v>
      </c>
      <c r="G63" s="24">
        <v>90050</v>
      </c>
      <c r="H63" s="23">
        <v>100000</v>
      </c>
      <c r="I63" s="23">
        <v>109950</v>
      </c>
      <c r="J63" s="24">
        <v>120280</v>
      </c>
      <c r="K63" s="24">
        <v>130640</v>
      </c>
      <c r="L63" s="19"/>
      <c r="M63" s="19"/>
    </row>
    <row r="64" ht="14.1" customHeight="1" spans="1:13">
      <c r="A64" s="19"/>
      <c r="B64" s="19"/>
      <c r="C64" s="19"/>
      <c r="D64" s="19"/>
      <c r="E64" s="19"/>
      <c r="F64" s="19"/>
      <c r="G64" s="19"/>
      <c r="H64" s="21"/>
      <c r="I64" s="21"/>
      <c r="J64" s="19"/>
      <c r="K64" s="19"/>
      <c r="L64" s="19"/>
      <c r="M64" s="19"/>
    </row>
    <row r="65" ht="14.1" customHeight="1" spans="1:13">
      <c r="A65" s="22">
        <v>707</v>
      </c>
      <c r="B65" s="19"/>
      <c r="C65" s="19" t="s">
        <v>776</v>
      </c>
      <c r="D65" s="19" t="s">
        <v>39</v>
      </c>
      <c r="E65" s="19"/>
      <c r="F65" s="19"/>
      <c r="G65" s="19"/>
      <c r="H65" s="21"/>
      <c r="I65" s="23">
        <v>117600</v>
      </c>
      <c r="J65" s="19"/>
      <c r="K65" s="19"/>
      <c r="L65" s="19"/>
      <c r="M65" s="19"/>
    </row>
    <row r="66" ht="14.1" customHeight="1" spans="1:13">
      <c r="A66" s="19"/>
      <c r="B66" s="19"/>
      <c r="C66" s="19"/>
      <c r="D66" s="19"/>
      <c r="E66" s="19"/>
      <c r="F66" s="19"/>
      <c r="G66" s="19"/>
      <c r="H66" s="21"/>
      <c r="I66" s="21"/>
      <c r="J66" s="19"/>
      <c r="K66" s="19"/>
      <c r="L66" s="19"/>
      <c r="M66" s="19"/>
    </row>
    <row r="67" ht="14.1" customHeight="1" spans="1:13">
      <c r="A67" s="22">
        <v>708</v>
      </c>
      <c r="B67" s="19"/>
      <c r="C67" s="19">
        <v>456</v>
      </c>
      <c r="D67" s="19" t="s">
        <v>39</v>
      </c>
      <c r="E67" s="24">
        <v>60850</v>
      </c>
      <c r="F67" s="24">
        <v>61000</v>
      </c>
      <c r="G67" s="24">
        <v>62400</v>
      </c>
      <c r="H67" s="23">
        <v>74000</v>
      </c>
      <c r="I67" s="23">
        <v>79000</v>
      </c>
      <c r="J67" s="24">
        <v>98100</v>
      </c>
      <c r="K67" s="19"/>
      <c r="L67" s="19"/>
      <c r="M67" s="19"/>
    </row>
    <row r="68" ht="14.1" customHeight="1" spans="1:13">
      <c r="A68" s="19"/>
      <c r="B68" s="19"/>
      <c r="C68" s="19"/>
      <c r="D68" s="19"/>
      <c r="E68" s="19"/>
      <c r="F68" s="19"/>
      <c r="G68" s="19"/>
      <c r="H68" s="21"/>
      <c r="I68" s="21"/>
      <c r="J68" s="19"/>
      <c r="K68" s="19"/>
      <c r="L68" s="19"/>
      <c r="M68" s="19"/>
    </row>
    <row r="69" ht="14.1" customHeight="1" spans="1:13">
      <c r="A69" s="22">
        <v>709</v>
      </c>
      <c r="B69" s="19"/>
      <c r="C69" s="19">
        <v>465</v>
      </c>
      <c r="D69" s="19" t="s">
        <v>39</v>
      </c>
      <c r="E69" s="24">
        <v>54400</v>
      </c>
      <c r="F69" s="24">
        <v>63800</v>
      </c>
      <c r="G69" s="19"/>
      <c r="H69" s="21"/>
      <c r="I69" s="21"/>
      <c r="J69" s="19"/>
      <c r="K69" s="19"/>
      <c r="L69" s="19"/>
      <c r="M69" s="19"/>
    </row>
    <row r="70" ht="14.1" customHeight="1" spans="1:13">
      <c r="A70" s="19"/>
      <c r="B70" s="19"/>
      <c r="C70" s="19"/>
      <c r="D70" s="19"/>
      <c r="E70" s="19"/>
      <c r="F70" s="24">
        <v>1850</v>
      </c>
      <c r="G70" s="19"/>
      <c r="H70" s="21"/>
      <c r="I70" s="21"/>
      <c r="J70" s="19"/>
      <c r="K70" s="19"/>
      <c r="L70" s="19"/>
      <c r="M70" s="19"/>
    </row>
    <row r="71" ht="14.1" customHeight="1" spans="1:13">
      <c r="A71" s="22">
        <v>710</v>
      </c>
      <c r="B71" s="19"/>
      <c r="C71" s="19">
        <v>550</v>
      </c>
      <c r="D71" s="19" t="s">
        <v>39</v>
      </c>
      <c r="E71" s="24">
        <v>95800</v>
      </c>
      <c r="F71" s="24">
        <v>97650</v>
      </c>
      <c r="G71" s="24">
        <v>99500</v>
      </c>
      <c r="H71" s="23">
        <v>151950</v>
      </c>
      <c r="I71" s="21"/>
      <c r="J71" s="19"/>
      <c r="K71" s="19"/>
      <c r="L71" s="19"/>
      <c r="M71" s="19"/>
    </row>
    <row r="72" ht="14.1" customHeight="1" spans="1:13">
      <c r="A72" s="19"/>
      <c r="B72" s="19"/>
      <c r="C72" s="19"/>
      <c r="D72" s="19"/>
      <c r="E72" s="19"/>
      <c r="F72" s="19"/>
      <c r="G72" s="19"/>
      <c r="H72" s="21"/>
      <c r="I72" s="21"/>
      <c r="J72" s="19"/>
      <c r="K72" s="19"/>
      <c r="L72" s="19"/>
      <c r="M72" s="19"/>
    </row>
    <row r="73" ht="14.1" customHeight="1" spans="1:13">
      <c r="A73" s="22">
        <v>711</v>
      </c>
      <c r="B73" s="19"/>
      <c r="C73" s="19">
        <v>575</v>
      </c>
      <c r="D73" s="19" t="s">
        <v>39</v>
      </c>
      <c r="E73" s="19"/>
      <c r="F73" s="19"/>
      <c r="G73" s="19"/>
      <c r="H73" s="21"/>
      <c r="I73" s="23">
        <v>125700</v>
      </c>
      <c r="J73" s="19"/>
      <c r="K73" s="19"/>
      <c r="L73" s="19"/>
      <c r="M73" s="19"/>
    </row>
    <row r="74" ht="14.1" customHeight="1" spans="1:13">
      <c r="A74" s="19"/>
      <c r="B74" s="19"/>
      <c r="C74" s="19"/>
      <c r="D74" s="19"/>
      <c r="E74" s="19"/>
      <c r="F74" s="19"/>
      <c r="G74" s="19"/>
      <c r="H74" s="21"/>
      <c r="I74" s="21"/>
      <c r="J74" s="19"/>
      <c r="K74" s="19"/>
      <c r="L74" s="19"/>
      <c r="M74" s="19"/>
    </row>
    <row r="75" ht="14.1" customHeight="1" spans="1:13">
      <c r="A75" s="22">
        <v>712</v>
      </c>
      <c r="B75" s="19"/>
      <c r="C75" s="19" t="s">
        <v>777</v>
      </c>
      <c r="D75" s="19" t="s">
        <v>39</v>
      </c>
      <c r="E75" s="19"/>
      <c r="F75" s="19"/>
      <c r="G75" s="19"/>
      <c r="H75" s="21"/>
      <c r="I75" s="23">
        <v>132900</v>
      </c>
      <c r="J75" s="24">
        <v>135150</v>
      </c>
      <c r="K75" s="24">
        <v>141700</v>
      </c>
      <c r="L75" s="19"/>
      <c r="M75" s="19"/>
    </row>
    <row r="76" ht="14.1" customHeight="1" spans="1:13">
      <c r="A76" s="19"/>
      <c r="B76" s="19"/>
      <c r="C76" s="19"/>
      <c r="D76" s="19"/>
      <c r="E76" s="19"/>
      <c r="F76" s="19"/>
      <c r="G76" s="19"/>
      <c r="H76" s="21"/>
      <c r="I76" s="21"/>
      <c r="J76" s="19"/>
      <c r="K76" s="19"/>
      <c r="L76" s="19"/>
      <c r="M76" s="19"/>
    </row>
    <row r="77" ht="14.1" customHeight="1" spans="1:13">
      <c r="A77" s="22">
        <v>713</v>
      </c>
      <c r="B77" s="19"/>
      <c r="C77" s="19">
        <v>612</v>
      </c>
      <c r="D77" s="19" t="s">
        <v>39</v>
      </c>
      <c r="E77" s="19"/>
      <c r="F77" s="19"/>
      <c r="G77" s="19"/>
      <c r="H77" s="21"/>
      <c r="I77" s="21"/>
      <c r="J77" s="19"/>
      <c r="K77" s="19"/>
      <c r="L77" s="24">
        <v>175650</v>
      </c>
      <c r="M77" s="19"/>
    </row>
    <row r="78" ht="14.1" customHeight="1" spans="1:13">
      <c r="A78" s="19"/>
      <c r="B78" s="19"/>
      <c r="C78" s="19"/>
      <c r="D78" s="19"/>
      <c r="E78" s="19"/>
      <c r="F78" s="19"/>
      <c r="G78" s="19"/>
      <c r="H78" s="21"/>
      <c r="I78" s="21"/>
      <c r="J78" s="19"/>
      <c r="K78" s="19"/>
      <c r="L78" s="19"/>
      <c r="M78" s="19"/>
    </row>
    <row r="79" ht="14.1" customHeight="1" spans="1:13">
      <c r="A79" s="22">
        <v>714</v>
      </c>
      <c r="B79" s="19"/>
      <c r="C79" s="19" t="s">
        <v>778</v>
      </c>
      <c r="D79" s="19" t="s">
        <v>39</v>
      </c>
      <c r="E79" s="24">
        <v>76800</v>
      </c>
      <c r="F79" s="24">
        <v>80700</v>
      </c>
      <c r="G79" s="19"/>
      <c r="H79" s="21"/>
      <c r="I79" s="21"/>
      <c r="J79" s="19"/>
      <c r="K79" s="19"/>
      <c r="L79" s="19"/>
      <c r="M79" s="19"/>
    </row>
    <row r="80" ht="14.1" customHeight="1" spans="1:13">
      <c r="A80" s="19"/>
      <c r="B80" s="19"/>
      <c r="C80" s="19"/>
      <c r="D80" s="19"/>
      <c r="E80" s="19"/>
      <c r="F80" s="19"/>
      <c r="G80" s="19"/>
      <c r="H80" s="21"/>
      <c r="I80" s="21"/>
      <c r="J80" s="19"/>
      <c r="K80" s="19"/>
      <c r="L80" s="19"/>
      <c r="M80" s="19"/>
    </row>
    <row r="81" ht="14.1" customHeight="1" spans="1:13">
      <c r="A81" s="22">
        <v>715</v>
      </c>
      <c r="B81" s="19"/>
      <c r="C81" s="19" t="s">
        <v>779</v>
      </c>
      <c r="D81" s="19" t="s">
        <v>39</v>
      </c>
      <c r="E81" s="19"/>
      <c r="F81" s="19"/>
      <c r="G81" s="19"/>
      <c r="H81" s="21"/>
      <c r="I81" s="21"/>
      <c r="J81" s="19"/>
      <c r="K81" s="19"/>
      <c r="L81" s="24">
        <v>183875</v>
      </c>
      <c r="M81" s="19"/>
    </row>
    <row r="82" ht="14.1" customHeight="1" spans="1:13">
      <c r="A82" s="19"/>
      <c r="B82" s="19"/>
      <c r="C82" s="19"/>
      <c r="D82" s="19"/>
      <c r="E82" s="19"/>
      <c r="F82" s="19"/>
      <c r="G82" s="19"/>
      <c r="H82" s="21"/>
      <c r="I82" s="21"/>
      <c r="J82" s="19"/>
      <c r="K82" s="19"/>
      <c r="L82" s="19"/>
      <c r="M82" s="19"/>
    </row>
    <row r="83" ht="14.1" customHeight="1" spans="1:13">
      <c r="A83" s="22">
        <v>716</v>
      </c>
      <c r="B83" s="19"/>
      <c r="C83" s="19" t="s">
        <v>780</v>
      </c>
      <c r="D83" s="19" t="s">
        <v>39</v>
      </c>
      <c r="E83" s="19"/>
      <c r="F83" s="19"/>
      <c r="G83" s="19"/>
      <c r="H83" s="21"/>
      <c r="I83" s="21"/>
      <c r="J83" s="24">
        <v>769600</v>
      </c>
      <c r="K83" s="19"/>
      <c r="L83" s="19"/>
      <c r="M83" s="19"/>
    </row>
    <row r="84" ht="14.1" customHeight="1" spans="1:13">
      <c r="A84" s="19"/>
      <c r="B84" s="19"/>
      <c r="C84" s="19"/>
      <c r="D84" s="19"/>
      <c r="E84" s="19"/>
      <c r="F84" s="19"/>
      <c r="G84" s="19"/>
      <c r="H84" s="21"/>
      <c r="I84" s="21"/>
      <c r="J84" s="19"/>
      <c r="K84" s="19"/>
      <c r="L84" s="19"/>
      <c r="M84" s="19"/>
    </row>
    <row r="85" ht="14.1" customHeight="1" spans="1:13">
      <c r="A85" s="22">
        <v>717</v>
      </c>
      <c r="B85" s="19"/>
      <c r="C85" s="19" t="s">
        <v>775</v>
      </c>
      <c r="D85" s="19" t="s">
        <v>39</v>
      </c>
      <c r="E85" s="19"/>
      <c r="F85" s="19"/>
      <c r="G85" s="19"/>
      <c r="H85" s="21"/>
      <c r="I85" s="21"/>
      <c r="J85" s="19"/>
      <c r="K85" s="19"/>
      <c r="L85" s="24">
        <v>247100</v>
      </c>
      <c r="M85" s="19"/>
    </row>
    <row r="86" ht="14.1" customHeight="1" spans="1:13">
      <c r="A86" s="19"/>
      <c r="B86" s="19"/>
      <c r="C86" s="19"/>
      <c r="D86" s="19"/>
      <c r="E86" s="19"/>
      <c r="F86" s="19"/>
      <c r="G86" s="19"/>
      <c r="H86" s="21"/>
      <c r="I86" s="21"/>
      <c r="J86" s="19"/>
      <c r="K86" s="19"/>
      <c r="L86" s="19"/>
      <c r="M86" s="19"/>
    </row>
    <row r="87" ht="14.1" customHeight="1" spans="1:13">
      <c r="A87" s="22">
        <v>718</v>
      </c>
      <c r="B87" s="19"/>
      <c r="C87" s="19" t="s">
        <v>781</v>
      </c>
      <c r="D87" s="19" t="s">
        <v>39</v>
      </c>
      <c r="E87" s="19"/>
      <c r="F87" s="19"/>
      <c r="G87" s="19"/>
      <c r="H87" s="21"/>
      <c r="I87" s="21"/>
      <c r="J87" s="19"/>
      <c r="K87" s="24">
        <v>117400</v>
      </c>
      <c r="L87" s="24">
        <v>252100</v>
      </c>
      <c r="M87" s="19"/>
    </row>
    <row r="88" ht="14.1" customHeight="1" spans="1:13">
      <c r="A88" s="19"/>
      <c r="B88" s="19"/>
      <c r="C88" s="19"/>
      <c r="D88" s="19"/>
      <c r="E88" s="19"/>
      <c r="F88" s="19"/>
      <c r="G88" s="19"/>
      <c r="H88" s="21"/>
      <c r="I88" s="21"/>
      <c r="J88" s="19"/>
      <c r="K88" s="19"/>
      <c r="L88" s="19"/>
      <c r="M88" s="19"/>
    </row>
    <row r="89" ht="14.1" customHeight="1" spans="1:13">
      <c r="A89" s="19"/>
      <c r="B89" s="19"/>
      <c r="C89" s="20" t="s">
        <v>782</v>
      </c>
      <c r="D89" s="19"/>
      <c r="E89" s="19"/>
      <c r="F89" s="19"/>
      <c r="G89" s="19"/>
      <c r="H89" s="21"/>
      <c r="I89" s="21"/>
      <c r="J89" s="19"/>
      <c r="K89" s="19"/>
      <c r="L89" s="19"/>
      <c r="M89" s="19"/>
    </row>
    <row r="90" ht="14.1" customHeight="1" spans="1:13">
      <c r="A90" s="22">
        <v>719</v>
      </c>
      <c r="B90" s="19"/>
      <c r="C90" s="19" t="s">
        <v>783</v>
      </c>
      <c r="D90" s="19" t="s">
        <v>39</v>
      </c>
      <c r="E90" s="24">
        <v>121700</v>
      </c>
      <c r="F90" s="24">
        <v>129900</v>
      </c>
      <c r="G90" s="19"/>
      <c r="H90" s="23">
        <v>145500</v>
      </c>
      <c r="I90" s="21"/>
      <c r="J90" s="19"/>
      <c r="K90" s="19"/>
      <c r="L90" s="19"/>
      <c r="M90" s="19"/>
    </row>
    <row r="91" ht="14.1" customHeight="1" spans="1:13">
      <c r="A91" s="19"/>
      <c r="B91" s="19"/>
      <c r="C91" s="19"/>
      <c r="D91" s="19"/>
      <c r="E91" s="19"/>
      <c r="F91" s="19"/>
      <c r="G91" s="19"/>
      <c r="H91" s="21"/>
      <c r="I91" s="21"/>
      <c r="J91" s="19"/>
      <c r="K91" s="19"/>
      <c r="L91" s="19"/>
      <c r="M91" s="19"/>
    </row>
    <row r="92" ht="14.1" customHeight="1" spans="1:13">
      <c r="A92" s="22">
        <v>720</v>
      </c>
      <c r="B92" s="19"/>
      <c r="C92" s="19" t="s">
        <v>784</v>
      </c>
      <c r="D92" s="19" t="s">
        <v>39</v>
      </c>
      <c r="E92" s="19"/>
      <c r="F92" s="19"/>
      <c r="G92" s="19"/>
      <c r="H92" s="21"/>
      <c r="I92" s="21"/>
      <c r="J92" s="19"/>
      <c r="K92" s="24">
        <v>107400</v>
      </c>
      <c r="L92" s="24">
        <v>124600</v>
      </c>
      <c r="M92" s="19"/>
    </row>
    <row r="93" ht="14.1" customHeight="1" spans="1:13">
      <c r="A93" s="19"/>
      <c r="B93" s="19"/>
      <c r="C93" s="19"/>
      <c r="D93" s="19"/>
      <c r="E93" s="19"/>
      <c r="F93" s="19"/>
      <c r="G93" s="19"/>
      <c r="H93" s="21"/>
      <c r="I93" s="21"/>
      <c r="J93" s="19"/>
      <c r="K93" s="19"/>
      <c r="L93" s="19"/>
      <c r="M93" s="19"/>
    </row>
    <row r="94" ht="14.1" customHeight="1" spans="1:13">
      <c r="A94" s="22">
        <v>721</v>
      </c>
      <c r="B94" s="19"/>
      <c r="C94" s="19" t="s">
        <v>785</v>
      </c>
      <c r="D94" s="19" t="s">
        <v>39</v>
      </c>
      <c r="E94" s="19"/>
      <c r="F94" s="19"/>
      <c r="G94" s="19"/>
      <c r="H94" s="21"/>
      <c r="I94" s="21"/>
      <c r="J94" s="19"/>
      <c r="K94" s="19"/>
      <c r="L94" s="19"/>
      <c r="M94" s="24">
        <v>171250</v>
      </c>
    </row>
    <row r="95" ht="14.1" customHeight="1" spans="1:13">
      <c r="A95" s="19"/>
      <c r="B95" s="19"/>
      <c r="C95" s="19"/>
      <c r="D95" s="19"/>
      <c r="E95" s="19"/>
      <c r="F95" s="19"/>
      <c r="G95" s="19"/>
      <c r="H95" s="21"/>
      <c r="I95" s="21"/>
      <c r="J95" s="19"/>
      <c r="K95" s="19"/>
      <c r="L95" s="19"/>
      <c r="M95" s="19"/>
    </row>
    <row r="96" ht="14.1" customHeight="1" spans="1:13">
      <c r="A96" s="22">
        <v>722</v>
      </c>
      <c r="B96" s="19"/>
      <c r="C96" s="19" t="s">
        <v>786</v>
      </c>
      <c r="D96" s="19" t="s">
        <v>39</v>
      </c>
      <c r="E96" s="19"/>
      <c r="F96" s="19"/>
      <c r="G96" s="19"/>
      <c r="H96" s="21"/>
      <c r="I96" s="21"/>
      <c r="J96" s="19"/>
      <c r="K96" s="19"/>
      <c r="L96" s="19"/>
      <c r="M96" s="24">
        <v>181600</v>
      </c>
    </row>
    <row r="97" ht="14.1" customHeight="1" spans="1:13">
      <c r="A97" s="19"/>
      <c r="B97" s="19"/>
      <c r="C97" s="19"/>
      <c r="D97" s="19"/>
      <c r="E97" s="19"/>
      <c r="F97" s="19"/>
      <c r="G97" s="19"/>
      <c r="H97" s="21"/>
      <c r="I97" s="21"/>
      <c r="J97" s="19"/>
      <c r="K97" s="19"/>
      <c r="L97" s="19"/>
      <c r="M97" s="19"/>
    </row>
    <row r="98" ht="14.1" customHeight="1" spans="1:13">
      <c r="A98" s="22">
        <v>723</v>
      </c>
      <c r="B98" s="19"/>
      <c r="C98" s="19" t="s">
        <v>787</v>
      </c>
      <c r="D98" s="19" t="s">
        <v>39</v>
      </c>
      <c r="E98" s="19"/>
      <c r="F98" s="19"/>
      <c r="G98" s="19"/>
      <c r="H98" s="21"/>
      <c r="I98" s="21"/>
      <c r="J98" s="19"/>
      <c r="K98" s="19"/>
      <c r="L98" s="19"/>
      <c r="M98" s="24">
        <v>201000</v>
      </c>
    </row>
    <row r="99" ht="14.1" customHeight="1" spans="1:13">
      <c r="A99" s="19"/>
      <c r="B99" s="19"/>
      <c r="C99" s="19"/>
      <c r="D99" s="19"/>
      <c r="E99" s="19"/>
      <c r="F99" s="19"/>
      <c r="G99" s="19"/>
      <c r="H99" s="21"/>
      <c r="I99" s="21"/>
      <c r="J99" s="19"/>
      <c r="K99" s="19"/>
      <c r="L99" s="19"/>
      <c r="M99" s="19"/>
    </row>
    <row r="100" ht="14.1" customHeight="1" spans="1:13">
      <c r="A100" s="22">
        <v>724</v>
      </c>
      <c r="B100" s="19"/>
      <c r="C100" s="19" t="s">
        <v>788</v>
      </c>
      <c r="D100" s="19" t="s">
        <v>39</v>
      </c>
      <c r="E100" s="19"/>
      <c r="F100" s="19"/>
      <c r="G100" s="19"/>
      <c r="H100" s="21"/>
      <c r="I100" s="23">
        <v>142600</v>
      </c>
      <c r="J100" s="24">
        <v>145900</v>
      </c>
      <c r="K100" s="24">
        <v>150300</v>
      </c>
      <c r="L100" s="24">
        <v>179900</v>
      </c>
      <c r="M100" s="19"/>
    </row>
    <row r="101" ht="14.1" customHeight="1" spans="1:13">
      <c r="A101" s="19"/>
      <c r="B101" s="19"/>
      <c r="C101" s="19"/>
      <c r="D101" s="19"/>
      <c r="E101" s="19"/>
      <c r="F101" s="19"/>
      <c r="G101" s="19"/>
      <c r="H101" s="21"/>
      <c r="I101" s="21"/>
      <c r="J101" s="19"/>
      <c r="K101" s="19"/>
      <c r="L101" s="19"/>
      <c r="M101" s="19"/>
    </row>
    <row r="102" ht="14.1" customHeight="1" spans="1:13">
      <c r="A102" s="22">
        <v>725</v>
      </c>
      <c r="B102" s="19"/>
      <c r="C102" s="19" t="s">
        <v>789</v>
      </c>
      <c r="D102" s="19" t="s">
        <v>39</v>
      </c>
      <c r="E102" s="19"/>
      <c r="F102" s="19"/>
      <c r="G102" s="19"/>
      <c r="H102" s="21"/>
      <c r="I102" s="21"/>
      <c r="J102" s="19"/>
      <c r="K102" s="19"/>
      <c r="L102" s="19"/>
      <c r="M102" s="24">
        <v>304325</v>
      </c>
    </row>
    <row r="103" ht="14.1" customHeight="1" spans="1:13">
      <c r="A103" s="19"/>
      <c r="B103" s="19"/>
      <c r="C103" s="19"/>
      <c r="D103" s="19"/>
      <c r="E103" s="19"/>
      <c r="F103" s="19"/>
      <c r="G103" s="19"/>
      <c r="H103" s="21"/>
      <c r="I103" s="21"/>
      <c r="J103" s="19"/>
      <c r="K103" s="19"/>
      <c r="L103" s="19"/>
      <c r="M103" s="19"/>
    </row>
    <row r="104" ht="14.1" customHeight="1" spans="1:13">
      <c r="A104" s="22">
        <v>726</v>
      </c>
      <c r="B104" s="19"/>
      <c r="C104" s="19" t="s">
        <v>790</v>
      </c>
      <c r="D104" s="19" t="s">
        <v>39</v>
      </c>
      <c r="E104" s="19"/>
      <c r="F104" s="19"/>
      <c r="G104" s="19"/>
      <c r="H104" s="21"/>
      <c r="I104" s="21"/>
      <c r="J104" s="19"/>
      <c r="K104" s="19"/>
      <c r="L104" s="19"/>
      <c r="M104" s="24">
        <v>336100</v>
      </c>
    </row>
    <row r="105" ht="14.1" customHeight="1" spans="1:13">
      <c r="A105" s="19"/>
      <c r="B105" s="19"/>
      <c r="C105" s="19"/>
      <c r="D105" s="19"/>
      <c r="E105" s="19"/>
      <c r="F105" s="19"/>
      <c r="G105" s="19"/>
      <c r="H105" s="21"/>
      <c r="I105" s="21"/>
      <c r="J105" s="19"/>
      <c r="K105" s="19"/>
      <c r="L105" s="19"/>
      <c r="M105" s="19"/>
    </row>
    <row r="106" ht="14.1" customHeight="1" spans="1:13">
      <c r="A106" s="22">
        <v>727</v>
      </c>
      <c r="B106" s="19"/>
      <c r="C106" s="19" t="s">
        <v>791</v>
      </c>
      <c r="D106" s="19" t="s">
        <v>39</v>
      </c>
      <c r="E106" s="19"/>
      <c r="F106" s="19"/>
      <c r="G106" s="19"/>
      <c r="H106" s="21"/>
      <c r="I106" s="21"/>
      <c r="J106" s="19"/>
      <c r="K106" s="19"/>
      <c r="L106" s="19"/>
      <c r="M106" s="24">
        <v>349300</v>
      </c>
    </row>
    <row r="107" ht="14.1" customHeight="1" spans="1:13">
      <c r="A107" s="19"/>
      <c r="B107" s="19"/>
      <c r="C107" s="19"/>
      <c r="D107" s="19"/>
      <c r="E107" s="19"/>
      <c r="F107" s="19"/>
      <c r="G107" s="19"/>
      <c r="H107" s="21"/>
      <c r="I107" s="21"/>
      <c r="J107" s="19"/>
      <c r="K107" s="19"/>
      <c r="L107" s="19"/>
      <c r="M107" s="19"/>
    </row>
    <row r="108" ht="14.1" customHeight="1" spans="1:13">
      <c r="A108" s="22">
        <v>728</v>
      </c>
      <c r="B108" s="19"/>
      <c r="C108" s="19" t="s">
        <v>792</v>
      </c>
      <c r="D108" s="19" t="s">
        <v>39</v>
      </c>
      <c r="E108" s="19"/>
      <c r="F108" s="19"/>
      <c r="G108" s="19"/>
      <c r="H108" s="21"/>
      <c r="I108" s="21"/>
      <c r="J108" s="19"/>
      <c r="K108" s="19"/>
      <c r="L108" s="19"/>
      <c r="M108" s="24">
        <v>218600</v>
      </c>
    </row>
    <row r="109" ht="14.1" customHeight="1" spans="1:13">
      <c r="A109" s="19"/>
      <c r="B109" s="19"/>
      <c r="C109" s="19"/>
      <c r="D109" s="19"/>
      <c r="E109" s="19"/>
      <c r="F109" s="19"/>
      <c r="G109" s="19"/>
      <c r="H109" s="21"/>
      <c r="I109" s="21"/>
      <c r="J109" s="19"/>
      <c r="K109" s="19"/>
      <c r="L109" s="19"/>
      <c r="M109" s="19"/>
    </row>
    <row r="110" ht="14.1" customHeight="1" spans="1:13">
      <c r="A110" s="22">
        <v>729</v>
      </c>
      <c r="B110" s="19"/>
      <c r="C110" s="19" t="s">
        <v>793</v>
      </c>
      <c r="D110" s="19" t="s">
        <v>39</v>
      </c>
      <c r="E110" s="19"/>
      <c r="F110" s="19"/>
      <c r="G110" s="19"/>
      <c r="H110" s="21"/>
      <c r="I110" s="21"/>
      <c r="J110" s="19"/>
      <c r="K110" s="19"/>
      <c r="L110" s="19"/>
      <c r="M110" s="24">
        <v>239300</v>
      </c>
    </row>
    <row r="111" ht="14.1" customHeight="1" spans="1:13">
      <c r="A111" s="19"/>
      <c r="B111" s="19"/>
      <c r="C111" s="19"/>
      <c r="D111" s="19"/>
      <c r="E111" s="19"/>
      <c r="F111" s="19"/>
      <c r="G111" s="19"/>
      <c r="H111" s="21"/>
      <c r="I111" s="21"/>
      <c r="J111" s="19"/>
      <c r="K111" s="19"/>
      <c r="L111" s="19"/>
      <c r="M111" s="19"/>
    </row>
    <row r="112" ht="14.1" customHeight="1" spans="1:13">
      <c r="A112" s="22">
        <v>730</v>
      </c>
      <c r="B112" s="19"/>
      <c r="C112" s="19" t="s">
        <v>794</v>
      </c>
      <c r="D112" s="19" t="s">
        <v>39</v>
      </c>
      <c r="E112" s="19"/>
      <c r="F112" s="19"/>
      <c r="G112" s="19"/>
      <c r="H112" s="21"/>
      <c r="I112" s="21"/>
      <c r="J112" s="19"/>
      <c r="K112" s="19"/>
      <c r="L112" s="19"/>
      <c r="M112" s="24">
        <v>246800</v>
      </c>
    </row>
    <row r="113" ht="14.1" customHeight="1" spans="1:13">
      <c r="A113" s="19"/>
      <c r="B113" s="19"/>
      <c r="C113" s="19"/>
      <c r="D113" s="19"/>
      <c r="E113" s="19"/>
      <c r="F113" s="19"/>
      <c r="G113" s="19"/>
      <c r="H113" s="21"/>
      <c r="I113" s="21"/>
      <c r="J113" s="19"/>
      <c r="K113" s="19"/>
      <c r="L113" s="19"/>
      <c r="M113" s="19"/>
    </row>
    <row r="114" ht="14.1" customHeight="1" spans="1:13">
      <c r="A114" s="22">
        <v>731</v>
      </c>
      <c r="B114" s="19"/>
      <c r="C114" s="19" t="s">
        <v>795</v>
      </c>
      <c r="D114" s="19" t="s">
        <v>39</v>
      </c>
      <c r="E114" s="19"/>
      <c r="F114" s="19"/>
      <c r="G114" s="19"/>
      <c r="H114" s="21"/>
      <c r="I114" s="21"/>
      <c r="J114" s="19"/>
      <c r="K114" s="19"/>
      <c r="L114" s="19"/>
      <c r="M114" s="24">
        <v>263000</v>
      </c>
    </row>
    <row r="115" ht="14.1" customHeight="1" spans="1:13">
      <c r="A115" s="19"/>
      <c r="B115" s="19"/>
      <c r="C115" s="19"/>
      <c r="D115" s="19"/>
      <c r="E115" s="19"/>
      <c r="F115" s="19"/>
      <c r="G115" s="19"/>
      <c r="H115" s="21"/>
      <c r="I115" s="21"/>
      <c r="J115" s="19"/>
      <c r="K115" s="19"/>
      <c r="L115" s="19"/>
      <c r="M115" s="19"/>
    </row>
    <row r="116" ht="14.1" customHeight="1" spans="1:13">
      <c r="A116" s="19"/>
      <c r="B116" s="19"/>
      <c r="C116" s="20" t="s">
        <v>796</v>
      </c>
      <c r="D116" s="19"/>
      <c r="E116" s="19"/>
      <c r="F116" s="19"/>
      <c r="G116" s="19"/>
      <c r="H116" s="21"/>
      <c r="I116" s="21"/>
      <c r="J116" s="19"/>
      <c r="K116" s="19"/>
      <c r="L116" s="19"/>
      <c r="M116" s="19"/>
    </row>
    <row r="117" ht="14.1" customHeight="1" spans="1:13">
      <c r="A117" s="22">
        <v>732</v>
      </c>
      <c r="B117" s="19"/>
      <c r="C117" s="19" t="s">
        <v>797</v>
      </c>
      <c r="D117" s="19" t="s">
        <v>39</v>
      </c>
      <c r="E117" s="19"/>
      <c r="F117" s="19"/>
      <c r="G117" s="19"/>
      <c r="H117" s="21"/>
      <c r="I117" s="23">
        <v>38800</v>
      </c>
      <c r="J117" s="24">
        <v>42650</v>
      </c>
      <c r="K117" s="24">
        <v>47150</v>
      </c>
      <c r="L117" s="19"/>
      <c r="M117" s="19"/>
    </row>
    <row r="118" ht="14.1" customHeight="1" spans="1:13">
      <c r="A118" s="19"/>
      <c r="B118" s="19"/>
      <c r="C118" s="19"/>
      <c r="D118" s="19"/>
      <c r="E118" s="19"/>
      <c r="F118" s="19"/>
      <c r="G118" s="19"/>
      <c r="H118" s="21"/>
      <c r="I118" s="21"/>
      <c r="J118" s="19"/>
      <c r="K118" s="19"/>
      <c r="L118" s="19"/>
      <c r="M118" s="19"/>
    </row>
    <row r="119" ht="14.1" customHeight="1" spans="1:13">
      <c r="A119" s="22">
        <v>733</v>
      </c>
      <c r="B119" s="19"/>
      <c r="C119" s="19" t="s">
        <v>796</v>
      </c>
      <c r="D119" s="19" t="s">
        <v>39</v>
      </c>
      <c r="E119" s="19"/>
      <c r="F119" s="19"/>
      <c r="G119" s="19"/>
      <c r="H119" s="21"/>
      <c r="I119" s="23">
        <v>36250</v>
      </c>
      <c r="J119" s="24">
        <v>40400</v>
      </c>
      <c r="K119" s="24">
        <v>44250</v>
      </c>
      <c r="L119" s="24">
        <v>57333</v>
      </c>
      <c r="M119" s="19"/>
    </row>
    <row r="120" ht="14.1" customHeight="1" spans="1:13">
      <c r="A120" s="19"/>
      <c r="B120" s="19"/>
      <c r="C120" s="19"/>
      <c r="D120" s="19"/>
      <c r="E120" s="19"/>
      <c r="F120" s="19"/>
      <c r="G120" s="19"/>
      <c r="H120" s="21"/>
      <c r="I120" s="21"/>
      <c r="J120" s="19"/>
      <c r="K120" s="19"/>
      <c r="L120" s="19"/>
      <c r="M120" s="19"/>
    </row>
    <row r="121" ht="14.1" customHeight="1" spans="1:13">
      <c r="A121" s="22">
        <v>734</v>
      </c>
      <c r="B121" s="19"/>
      <c r="C121" s="19" t="s">
        <v>798</v>
      </c>
      <c r="D121" s="19" t="s">
        <v>39</v>
      </c>
      <c r="E121" s="19"/>
      <c r="F121" s="19"/>
      <c r="G121" s="19"/>
      <c r="H121" s="21"/>
      <c r="I121" s="21"/>
      <c r="J121" s="19"/>
      <c r="K121" s="19"/>
      <c r="L121" s="24">
        <v>64300</v>
      </c>
      <c r="M121" s="19"/>
    </row>
    <row r="122" ht="14.1" customHeight="1" spans="1:13">
      <c r="A122" s="19"/>
      <c r="B122" s="19"/>
      <c r="C122" s="19"/>
      <c r="D122" s="19"/>
      <c r="E122" s="19"/>
      <c r="F122" s="19"/>
      <c r="G122" s="19"/>
      <c r="H122" s="21"/>
      <c r="I122" s="21"/>
      <c r="J122" s="19"/>
      <c r="K122" s="19"/>
      <c r="L122" s="19"/>
      <c r="M122" s="19"/>
    </row>
    <row r="123" ht="14.1" customHeight="1" spans="1:13">
      <c r="A123" s="19"/>
      <c r="B123" s="19"/>
      <c r="C123" s="20" t="s">
        <v>799</v>
      </c>
      <c r="D123" s="19"/>
      <c r="E123" s="19"/>
      <c r="F123" s="19"/>
      <c r="G123" s="19"/>
      <c r="H123" s="21"/>
      <c r="I123" s="21"/>
      <c r="J123" s="19"/>
      <c r="K123" s="19"/>
      <c r="L123" s="19"/>
      <c r="M123" s="19"/>
    </row>
    <row r="124" ht="14.1" customHeight="1" spans="1:13">
      <c r="A124" s="22">
        <v>735</v>
      </c>
      <c r="B124" s="19"/>
      <c r="C124" s="19" t="s">
        <v>800</v>
      </c>
      <c r="D124" s="19" t="s">
        <v>39</v>
      </c>
      <c r="E124" s="19"/>
      <c r="F124" s="19"/>
      <c r="G124" s="19"/>
      <c r="H124" s="21"/>
      <c r="I124" s="21"/>
      <c r="J124" s="19"/>
      <c r="K124" s="24">
        <v>74100</v>
      </c>
      <c r="L124" s="19"/>
      <c r="M124" s="19"/>
    </row>
    <row r="125" ht="14.1" customHeight="1" spans="1:13">
      <c r="A125" s="19"/>
      <c r="B125" s="19"/>
      <c r="C125" s="19"/>
      <c r="D125" s="19"/>
      <c r="E125" s="19"/>
      <c r="F125" s="19"/>
      <c r="G125" s="19"/>
      <c r="H125" s="21"/>
      <c r="I125" s="21"/>
      <c r="J125" s="19"/>
      <c r="K125" s="19"/>
      <c r="L125" s="19"/>
      <c r="M125" s="19"/>
    </row>
    <row r="126" ht="14.1" customHeight="1" spans="1:13">
      <c r="A126" s="19"/>
      <c r="B126" s="19"/>
      <c r="C126" s="20" t="s">
        <v>801</v>
      </c>
      <c r="D126" s="19"/>
      <c r="E126" s="19"/>
      <c r="F126" s="19"/>
      <c r="G126" s="19"/>
      <c r="H126" s="21"/>
      <c r="I126" s="21"/>
      <c r="J126" s="19"/>
      <c r="K126" s="19"/>
      <c r="L126" s="19"/>
      <c r="M126" s="19"/>
    </row>
    <row r="127" ht="14.1" customHeight="1" spans="1:13">
      <c r="A127" s="22">
        <v>736</v>
      </c>
      <c r="B127" s="19"/>
      <c r="C127" s="19" t="s">
        <v>802</v>
      </c>
      <c r="D127" s="19" t="s">
        <v>39</v>
      </c>
      <c r="E127" s="19"/>
      <c r="F127" s="19"/>
      <c r="G127" s="19"/>
      <c r="H127" s="21"/>
      <c r="I127" s="21"/>
      <c r="J127" s="19"/>
      <c r="K127" s="24">
        <v>239000</v>
      </c>
      <c r="L127" s="19"/>
      <c r="M127" s="19"/>
    </row>
    <row r="128" ht="14.1" customHeight="1" spans="1:13">
      <c r="A128" s="19"/>
      <c r="B128" s="19"/>
      <c r="C128" s="19"/>
      <c r="D128" s="19"/>
      <c r="E128" s="19"/>
      <c r="F128" s="19"/>
      <c r="G128" s="19"/>
      <c r="H128" s="21"/>
      <c r="I128" s="21"/>
      <c r="J128" s="19"/>
      <c r="K128" s="19"/>
      <c r="L128" s="19"/>
      <c r="M128" s="19"/>
    </row>
    <row r="129" ht="14.1" customHeight="1" spans="1:13">
      <c r="A129" s="19"/>
      <c r="B129" s="19"/>
      <c r="C129" s="20" t="s">
        <v>803</v>
      </c>
      <c r="D129" s="19"/>
      <c r="E129" s="19"/>
      <c r="F129" s="19"/>
      <c r="G129" s="19"/>
      <c r="H129" s="21"/>
      <c r="I129" s="21"/>
      <c r="J129" s="19"/>
      <c r="K129" s="19"/>
      <c r="L129" s="19"/>
      <c r="M129" s="19"/>
    </row>
    <row r="130" ht="14.1" customHeight="1" spans="1:13">
      <c r="A130" s="22">
        <v>737</v>
      </c>
      <c r="B130" s="19"/>
      <c r="C130" s="19" t="s">
        <v>804</v>
      </c>
      <c r="D130" s="19" t="s">
        <v>39</v>
      </c>
      <c r="E130" s="19"/>
      <c r="F130" s="19"/>
      <c r="G130" s="24">
        <v>42000</v>
      </c>
      <c r="H130" s="23">
        <v>43000</v>
      </c>
      <c r="I130" s="23">
        <v>46100</v>
      </c>
      <c r="J130" s="24">
        <v>51800</v>
      </c>
      <c r="K130" s="24">
        <v>55500</v>
      </c>
      <c r="L130" s="24">
        <v>69425</v>
      </c>
      <c r="M130" s="19"/>
    </row>
    <row r="131" ht="14.1" customHeight="1" spans="1:13">
      <c r="A131" s="19"/>
      <c r="B131" s="19"/>
      <c r="C131" s="19"/>
      <c r="D131" s="19"/>
      <c r="E131" s="19"/>
      <c r="F131" s="19"/>
      <c r="G131" s="19"/>
      <c r="H131" s="21"/>
      <c r="I131" s="21"/>
      <c r="J131" s="19"/>
      <c r="K131" s="19"/>
      <c r="L131" s="19"/>
      <c r="M131" s="19"/>
    </row>
    <row r="132" ht="14.1" customHeight="1" spans="1:13">
      <c r="A132" s="19"/>
      <c r="B132" s="19"/>
      <c r="C132" s="20" t="s">
        <v>305</v>
      </c>
      <c r="D132" s="19"/>
      <c r="E132" s="19"/>
      <c r="F132" s="19"/>
      <c r="G132" s="19"/>
      <c r="H132" s="21"/>
      <c r="I132" s="21"/>
      <c r="J132" s="19"/>
      <c r="K132" s="19"/>
      <c r="L132" s="19"/>
      <c r="M132" s="19"/>
    </row>
    <row r="133" ht="14.1" customHeight="1" spans="1:13">
      <c r="A133" s="22">
        <v>738</v>
      </c>
      <c r="B133" s="19"/>
      <c r="C133" s="19" t="s">
        <v>496</v>
      </c>
      <c r="D133" s="19" t="s">
        <v>39</v>
      </c>
      <c r="E133" s="19"/>
      <c r="F133" s="19"/>
      <c r="G133" s="19"/>
      <c r="H133" s="21"/>
      <c r="I133" s="21"/>
      <c r="J133" s="19"/>
      <c r="K133" s="19"/>
      <c r="L133" s="19"/>
      <c r="M133" s="24">
        <v>65239</v>
      </c>
    </row>
    <row r="134" ht="14.1" customHeight="1" spans="1:13">
      <c r="A134" s="19"/>
      <c r="B134" s="19"/>
      <c r="C134" s="19"/>
      <c r="D134" s="19"/>
      <c r="E134" s="19"/>
      <c r="F134" s="19"/>
      <c r="G134" s="19"/>
      <c r="H134" s="21"/>
      <c r="I134" s="21"/>
      <c r="J134" s="19"/>
      <c r="K134" s="19"/>
      <c r="L134" s="19"/>
      <c r="M134" s="19"/>
    </row>
    <row r="135" ht="14.1" customHeight="1" spans="1:13">
      <c r="A135" s="22">
        <v>739</v>
      </c>
      <c r="B135" s="19"/>
      <c r="C135" s="19" t="s">
        <v>307</v>
      </c>
      <c r="D135" s="19" t="s">
        <v>39</v>
      </c>
      <c r="E135" s="19"/>
      <c r="F135" s="19"/>
      <c r="G135" s="19"/>
      <c r="H135" s="21"/>
      <c r="I135" s="21"/>
      <c r="J135" s="19"/>
      <c r="K135" s="19"/>
      <c r="L135" s="19"/>
      <c r="M135" s="24">
        <v>31625</v>
      </c>
    </row>
    <row r="136" ht="14.1" customHeight="1" spans="1:13">
      <c r="A136" s="19"/>
      <c r="B136" s="19"/>
      <c r="C136" s="19"/>
      <c r="D136" s="19"/>
      <c r="E136" s="19"/>
      <c r="F136" s="19"/>
      <c r="G136" s="19"/>
      <c r="H136" s="21"/>
      <c r="I136" s="21"/>
      <c r="J136" s="19"/>
      <c r="K136" s="19"/>
      <c r="L136" s="19"/>
      <c r="M136" s="19"/>
    </row>
    <row r="137" ht="14.1" customHeight="1" spans="1:13">
      <c r="A137" s="22">
        <v>740</v>
      </c>
      <c r="B137" s="19"/>
      <c r="C137" s="19" t="s">
        <v>805</v>
      </c>
      <c r="D137" s="19" t="s">
        <v>39</v>
      </c>
      <c r="E137" s="19"/>
      <c r="F137" s="19"/>
      <c r="G137" s="19"/>
      <c r="H137" s="21"/>
      <c r="I137" s="21"/>
      <c r="J137" s="19"/>
      <c r="K137" s="19"/>
      <c r="L137" s="19"/>
      <c r="M137" s="24">
        <v>44858</v>
      </c>
    </row>
    <row r="138" ht="14.1" customHeight="1" spans="1:13">
      <c r="A138" s="19"/>
      <c r="B138" s="19"/>
      <c r="C138" s="19"/>
      <c r="D138" s="19"/>
      <c r="E138" s="19"/>
      <c r="F138" s="19"/>
      <c r="G138" s="19"/>
      <c r="H138" s="21"/>
      <c r="I138" s="21"/>
      <c r="J138" s="19"/>
      <c r="K138" s="19"/>
      <c r="L138" s="19"/>
      <c r="M138" s="19"/>
    </row>
    <row r="139" ht="14.1" customHeight="1" spans="1:13">
      <c r="A139" s="22">
        <v>741</v>
      </c>
      <c r="B139" s="19"/>
      <c r="C139" s="19" t="s">
        <v>308</v>
      </c>
      <c r="D139" s="19" t="s">
        <v>39</v>
      </c>
      <c r="E139" s="19"/>
      <c r="F139" s="19"/>
      <c r="G139" s="19"/>
      <c r="H139" s="21"/>
      <c r="I139" s="21"/>
      <c r="J139" s="19"/>
      <c r="K139" s="19"/>
      <c r="L139" s="19"/>
      <c r="M139" s="24">
        <v>33800</v>
      </c>
    </row>
    <row r="140" ht="14.1" customHeight="1" spans="1:13">
      <c r="A140" s="19"/>
      <c r="B140" s="19"/>
      <c r="C140" s="19"/>
      <c r="D140" s="19"/>
      <c r="E140" s="19"/>
      <c r="F140" s="19"/>
      <c r="G140" s="19"/>
      <c r="H140" s="21"/>
      <c r="I140" s="21"/>
      <c r="J140" s="19"/>
      <c r="K140" s="19"/>
      <c r="L140" s="19"/>
      <c r="M140" s="19"/>
    </row>
    <row r="141" ht="14.1" customHeight="1" spans="1:13">
      <c r="A141" s="22">
        <v>742</v>
      </c>
      <c r="B141" s="19"/>
      <c r="C141" s="19" t="s">
        <v>806</v>
      </c>
      <c r="D141" s="19" t="s">
        <v>39</v>
      </c>
      <c r="E141" s="19"/>
      <c r="F141" s="19"/>
      <c r="G141" s="19"/>
      <c r="H141" s="21"/>
      <c r="I141" s="21"/>
      <c r="J141" s="19"/>
      <c r="K141" s="19"/>
      <c r="L141" s="19"/>
      <c r="M141" s="24">
        <v>42313</v>
      </c>
    </row>
    <row r="142" ht="14.1" customHeight="1" spans="1:13">
      <c r="A142" s="19"/>
      <c r="B142" s="19"/>
      <c r="C142" s="19"/>
      <c r="D142" s="19"/>
      <c r="E142" s="19"/>
      <c r="F142" s="19"/>
      <c r="G142" s="19"/>
      <c r="H142" s="21"/>
      <c r="I142" s="21"/>
      <c r="J142" s="19"/>
      <c r="K142" s="19"/>
      <c r="L142" s="19"/>
      <c r="M142" s="19"/>
    </row>
    <row r="143" ht="14.1" customHeight="1" spans="1:13">
      <c r="A143" s="22">
        <v>743</v>
      </c>
      <c r="B143" s="19"/>
      <c r="C143" s="19" t="s">
        <v>807</v>
      </c>
      <c r="D143" s="19" t="s">
        <v>39</v>
      </c>
      <c r="E143" s="19"/>
      <c r="F143" s="19"/>
      <c r="G143" s="19"/>
      <c r="H143" s="21"/>
      <c r="I143" s="21"/>
      <c r="J143" s="19"/>
      <c r="K143" s="19"/>
      <c r="L143" s="19"/>
      <c r="M143" s="24">
        <v>55467</v>
      </c>
    </row>
    <row r="144" ht="14.1" customHeight="1" spans="1:13">
      <c r="A144" s="19"/>
      <c r="B144" s="19"/>
      <c r="C144" s="19"/>
      <c r="D144" s="19"/>
      <c r="E144" s="19"/>
      <c r="F144" s="19"/>
      <c r="G144" s="19"/>
      <c r="H144" s="21"/>
      <c r="I144" s="21"/>
      <c r="J144" s="19"/>
      <c r="K144" s="19"/>
      <c r="L144" s="19"/>
      <c r="M144" s="19"/>
    </row>
    <row r="145" ht="14.1" customHeight="1" spans="1:13">
      <c r="A145" s="19"/>
      <c r="B145" s="19"/>
      <c r="C145" s="20" t="s">
        <v>808</v>
      </c>
      <c r="D145" s="19"/>
      <c r="E145" s="19"/>
      <c r="F145" s="19"/>
      <c r="G145" s="19"/>
      <c r="H145" s="21"/>
      <c r="I145" s="21"/>
      <c r="J145" s="19"/>
      <c r="K145" s="19"/>
      <c r="L145" s="19"/>
      <c r="M145" s="19"/>
    </row>
    <row r="146" ht="14.1" customHeight="1" spans="1:13">
      <c r="A146" s="22">
        <v>744</v>
      </c>
      <c r="B146" s="19"/>
      <c r="C146" s="19" t="s">
        <v>809</v>
      </c>
      <c r="D146" s="19" t="s">
        <v>39</v>
      </c>
      <c r="E146" s="19"/>
      <c r="F146" s="19"/>
      <c r="G146" s="24">
        <v>141200</v>
      </c>
      <c r="H146" s="23">
        <v>154400</v>
      </c>
      <c r="I146" s="23">
        <v>161500</v>
      </c>
      <c r="J146" s="19"/>
      <c r="K146" s="19"/>
      <c r="L146" s="19"/>
      <c r="M146" s="19"/>
    </row>
    <row r="147" ht="14.1" customHeight="1" spans="1:13">
      <c r="A147" s="19"/>
      <c r="B147" s="19"/>
      <c r="C147" s="19"/>
      <c r="D147" s="19"/>
      <c r="E147" s="19"/>
      <c r="F147" s="19"/>
      <c r="G147" s="19"/>
      <c r="H147" s="21"/>
      <c r="I147" s="21"/>
      <c r="J147" s="19"/>
      <c r="K147" s="19"/>
      <c r="L147" s="19"/>
      <c r="M147" s="19"/>
    </row>
    <row r="148" ht="14.1" customHeight="1" spans="1:13">
      <c r="A148" s="22">
        <v>745</v>
      </c>
      <c r="B148" s="19"/>
      <c r="C148" s="19" t="s">
        <v>810</v>
      </c>
      <c r="D148" s="19" t="s">
        <v>39</v>
      </c>
      <c r="E148" s="19"/>
      <c r="F148" s="19"/>
      <c r="G148" s="19"/>
      <c r="H148" s="21"/>
      <c r="I148" s="21"/>
      <c r="J148" s="19"/>
      <c r="K148" s="19"/>
      <c r="L148" s="19"/>
      <c r="M148" s="24">
        <v>207000</v>
      </c>
    </row>
    <row r="149" ht="14.1" customHeight="1" spans="1:13">
      <c r="A149" s="19"/>
      <c r="B149" s="19"/>
      <c r="C149" s="19"/>
      <c r="D149" s="19"/>
      <c r="E149" s="19"/>
      <c r="F149" s="19"/>
      <c r="G149" s="19"/>
      <c r="H149" s="21"/>
      <c r="I149" s="21"/>
      <c r="J149" s="19"/>
      <c r="K149" s="19"/>
      <c r="L149" s="19"/>
      <c r="M149" s="19"/>
    </row>
    <row r="150" ht="14.1" customHeight="1" spans="1:13">
      <c r="A150" s="22">
        <v>746</v>
      </c>
      <c r="B150" s="19"/>
      <c r="C150" s="19" t="s">
        <v>811</v>
      </c>
      <c r="D150" s="19" t="s">
        <v>39</v>
      </c>
      <c r="E150" s="24">
        <v>116600</v>
      </c>
      <c r="F150" s="24">
        <v>120200</v>
      </c>
      <c r="G150" s="19"/>
      <c r="H150" s="23">
        <v>120600</v>
      </c>
      <c r="I150" s="23">
        <v>133300</v>
      </c>
      <c r="J150" s="19"/>
      <c r="K150" s="19"/>
      <c r="L150" s="19"/>
      <c r="M150" s="19"/>
    </row>
    <row r="151" ht="14.1" customHeight="1" spans="1:13">
      <c r="A151" s="19"/>
      <c r="B151" s="19"/>
      <c r="C151" s="19"/>
      <c r="D151" s="19"/>
      <c r="E151" s="19"/>
      <c r="F151" s="19"/>
      <c r="G151" s="19"/>
      <c r="H151" s="21"/>
      <c r="I151" s="21"/>
      <c r="J151" s="19"/>
      <c r="K151" s="19"/>
      <c r="L151" s="19"/>
      <c r="M151" s="19"/>
    </row>
    <row r="152" ht="14.1" customHeight="1" spans="1:13">
      <c r="A152" s="22">
        <v>747</v>
      </c>
      <c r="B152" s="19"/>
      <c r="C152" s="19" t="s">
        <v>812</v>
      </c>
      <c r="D152" s="19" t="s">
        <v>39</v>
      </c>
      <c r="E152" s="19"/>
      <c r="F152" s="19"/>
      <c r="G152" s="19"/>
      <c r="H152" s="21"/>
      <c r="I152" s="21"/>
      <c r="J152" s="19"/>
      <c r="K152" s="24">
        <v>168000</v>
      </c>
      <c r="L152" s="24">
        <v>182800</v>
      </c>
      <c r="M152" s="24">
        <v>210220</v>
      </c>
    </row>
    <row r="153" ht="14.1" customHeight="1" spans="1:13">
      <c r="A153" s="19"/>
      <c r="B153" s="19"/>
      <c r="C153" s="19"/>
      <c r="D153" s="19"/>
      <c r="E153" s="19"/>
      <c r="F153" s="19"/>
      <c r="G153" s="19"/>
      <c r="H153" s="21"/>
      <c r="I153" s="21"/>
      <c r="J153" s="19"/>
      <c r="K153" s="19"/>
      <c r="L153" s="19"/>
      <c r="M153" s="19"/>
    </row>
    <row r="154" ht="14.1" customHeight="1" spans="1:13">
      <c r="A154" s="22">
        <v>748</v>
      </c>
      <c r="B154" s="19"/>
      <c r="C154" s="19" t="s">
        <v>813</v>
      </c>
      <c r="D154" s="19" t="s">
        <v>39</v>
      </c>
      <c r="E154" s="24">
        <v>95300</v>
      </c>
      <c r="F154" s="24">
        <v>100900</v>
      </c>
      <c r="G154" s="19"/>
      <c r="H154" s="21"/>
      <c r="I154" s="21"/>
      <c r="J154" s="19"/>
      <c r="K154" s="19"/>
      <c r="L154" s="19"/>
      <c r="M154" s="19"/>
    </row>
    <row r="155" ht="14.1" customHeight="1" spans="1:13">
      <c r="A155" s="19"/>
      <c r="B155" s="19"/>
      <c r="C155" s="19"/>
      <c r="D155" s="19"/>
      <c r="E155" s="19"/>
      <c r="F155" s="19"/>
      <c r="G155" s="19"/>
      <c r="H155" s="21"/>
      <c r="I155" s="21"/>
      <c r="J155" s="19"/>
      <c r="K155" s="19"/>
      <c r="L155" s="19"/>
      <c r="M155" s="19"/>
    </row>
    <row r="156" ht="14.1" customHeight="1" spans="1:13">
      <c r="A156" s="22">
        <v>749</v>
      </c>
      <c r="B156" s="19"/>
      <c r="C156" s="19" t="s">
        <v>814</v>
      </c>
      <c r="D156" s="19" t="s">
        <v>39</v>
      </c>
      <c r="E156" s="19"/>
      <c r="F156" s="24">
        <v>77800</v>
      </c>
      <c r="G156" s="24">
        <v>90200</v>
      </c>
      <c r="H156" s="23">
        <v>95900</v>
      </c>
      <c r="I156" s="23">
        <v>103800</v>
      </c>
      <c r="J156" s="19"/>
      <c r="K156" s="19"/>
      <c r="L156" s="19"/>
      <c r="M156" s="19"/>
    </row>
    <row r="157" ht="14.1" customHeight="1" spans="1:13">
      <c r="A157" s="19"/>
      <c r="B157" s="19"/>
      <c r="C157" s="19"/>
      <c r="D157" s="19"/>
      <c r="E157" s="19"/>
      <c r="F157" s="19"/>
      <c r="G157" s="19"/>
      <c r="H157" s="21"/>
      <c r="I157" s="21"/>
      <c r="J157" s="19"/>
      <c r="K157" s="19"/>
      <c r="L157" s="19"/>
      <c r="M157" s="19"/>
    </row>
    <row r="158" ht="14.1" customHeight="1" spans="1:13">
      <c r="A158" s="19"/>
      <c r="B158" s="19"/>
      <c r="C158" s="20" t="s">
        <v>815</v>
      </c>
      <c r="D158" s="19"/>
      <c r="E158" s="19"/>
      <c r="F158" s="19"/>
      <c r="G158" s="19"/>
      <c r="H158" s="21"/>
      <c r="I158" s="21"/>
      <c r="J158" s="19"/>
      <c r="K158" s="19"/>
      <c r="L158" s="19"/>
      <c r="M158" s="19"/>
    </row>
    <row r="159" ht="14.1" customHeight="1" spans="1:13">
      <c r="A159" s="22">
        <v>750</v>
      </c>
      <c r="B159" s="19"/>
      <c r="C159" s="19" t="s">
        <v>816</v>
      </c>
      <c r="D159" s="19" t="s">
        <v>39</v>
      </c>
      <c r="E159" s="24">
        <v>37800</v>
      </c>
      <c r="F159" s="24">
        <v>39400</v>
      </c>
      <c r="G159" s="24">
        <v>44467</v>
      </c>
      <c r="H159" s="23">
        <v>49100</v>
      </c>
      <c r="I159" s="23">
        <v>52500</v>
      </c>
      <c r="J159" s="24">
        <v>57275</v>
      </c>
      <c r="K159" s="19"/>
      <c r="L159" s="19"/>
      <c r="M159" s="19"/>
    </row>
    <row r="160" ht="14.1" customHeight="1" spans="1:13">
      <c r="A160" s="19"/>
      <c r="B160" s="19"/>
      <c r="C160" s="19"/>
      <c r="D160" s="19"/>
      <c r="E160" s="19"/>
      <c r="F160" s="19"/>
      <c r="G160" s="19"/>
      <c r="H160" s="21"/>
      <c r="I160" s="21"/>
      <c r="J160" s="19"/>
      <c r="K160" s="19"/>
      <c r="L160" s="19"/>
      <c r="M160" s="19"/>
    </row>
    <row r="161" ht="14.1" customHeight="1" spans="1:13">
      <c r="A161" s="2"/>
      <c r="B161" s="2"/>
      <c r="C161" s="2" t="s">
        <v>504</v>
      </c>
      <c r="D161" s="2"/>
      <c r="E161" s="2"/>
      <c r="F161" s="2"/>
      <c r="G161" s="2"/>
      <c r="H161" s="4"/>
      <c r="I161" s="4"/>
      <c r="J161" s="2"/>
      <c r="K161" s="2"/>
      <c r="L161" s="2"/>
      <c r="M161" s="2"/>
    </row>
    <row r="162" ht="14.1" customHeight="1" spans="1:13">
      <c r="A162" s="6"/>
      <c r="B162" s="5"/>
      <c r="C162" s="5" t="s">
        <v>817</v>
      </c>
      <c r="D162" s="5"/>
      <c r="E162" s="6"/>
      <c r="F162" s="6"/>
      <c r="G162" s="6"/>
      <c r="H162" s="8"/>
      <c r="I162" s="8"/>
      <c r="J162" s="6"/>
      <c r="K162" s="6"/>
      <c r="L162" s="6"/>
      <c r="M162" s="6"/>
    </row>
    <row r="163" ht="14.1" customHeight="1" spans="1:13">
      <c r="A163" s="5"/>
      <c r="B163" s="5"/>
      <c r="C163" s="6"/>
      <c r="D163" s="5"/>
      <c r="E163" s="5"/>
      <c r="F163" s="5"/>
      <c r="G163" s="5"/>
      <c r="H163" s="11"/>
      <c r="I163" s="11"/>
      <c r="J163" s="5"/>
      <c r="K163" s="5"/>
      <c r="L163" s="5"/>
      <c r="M163" s="5"/>
    </row>
    <row r="164" ht="14.1" customHeight="1" spans="1:13">
      <c r="A164" s="6"/>
      <c r="B164" s="5"/>
      <c r="C164" s="6"/>
      <c r="D164" s="5"/>
      <c r="E164" s="6"/>
      <c r="F164" s="6"/>
      <c r="G164" s="6"/>
      <c r="H164" s="8"/>
      <c r="I164" s="8"/>
      <c r="J164" s="6"/>
      <c r="K164" s="6"/>
      <c r="L164" s="6"/>
      <c r="M164" s="6"/>
    </row>
    <row r="165" ht="14.1" customHeight="1" spans="1:13">
      <c r="A165" s="25">
        <v>751</v>
      </c>
      <c r="B165" s="14"/>
      <c r="C165" s="31"/>
      <c r="D165" s="14"/>
      <c r="E165" s="26">
        <v>143700</v>
      </c>
      <c r="F165" s="26">
        <v>146700</v>
      </c>
      <c r="G165" s="26">
        <v>149200</v>
      </c>
      <c r="H165" s="27">
        <v>154400</v>
      </c>
      <c r="I165" s="27">
        <v>161500</v>
      </c>
      <c r="J165" s="26">
        <v>168500</v>
      </c>
      <c r="K165" s="26">
        <v>239000</v>
      </c>
      <c r="L165" s="26">
        <v>252100</v>
      </c>
      <c r="M165" s="26">
        <v>302520</v>
      </c>
    </row>
    <row r="166" ht="14.1" customHeight="1" spans="1:13">
      <c r="A166" s="19"/>
      <c r="B166" s="19"/>
      <c r="C166" s="19"/>
      <c r="D166" s="19"/>
      <c r="E166" s="19"/>
      <c r="F166" s="19"/>
      <c r="G166" s="19"/>
      <c r="H166" s="21"/>
      <c r="I166" s="21"/>
      <c r="J166" s="19"/>
      <c r="K166" s="19"/>
      <c r="L166" s="19"/>
      <c r="M166" s="19"/>
    </row>
  </sheetData>
  <mergeCells count="2">
    <mergeCell ref="B161:B165"/>
    <mergeCell ref="D161:D16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9"/>
  <sheetViews>
    <sheetView topLeftCell="B28" workbookViewId="0">
      <selection activeCell="N56" sqref="N56"/>
    </sheetView>
  </sheetViews>
  <sheetFormatPr defaultColWidth="11.4259259259259" defaultRowHeight="14.4"/>
  <cols>
    <col min="1" max="1" width="12.712962962963" customWidth="1"/>
    <col min="2" max="2" width="14.712962962963" customWidth="1"/>
    <col min="3" max="3" width="36.287037037037" customWidth="1"/>
    <col min="4" max="13" width="12.712962962963" customWidth="1"/>
  </cols>
  <sheetData>
    <row r="1" ht="12.75" customHeight="1" spans="1:13">
      <c r="A1" s="2"/>
      <c r="B1" s="2"/>
      <c r="C1" s="28" t="s">
        <v>818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75" customHeight="1" spans="1:13">
      <c r="A2" s="5"/>
      <c r="B2" s="6"/>
      <c r="C2" s="29"/>
      <c r="D2" s="6"/>
      <c r="E2" s="5"/>
      <c r="F2" s="5"/>
      <c r="G2" s="6"/>
      <c r="H2" s="6"/>
      <c r="I2" s="6"/>
      <c r="J2" s="6"/>
      <c r="K2" s="6"/>
      <c r="L2" s="6"/>
      <c r="M2" s="6"/>
    </row>
    <row r="3" ht="12.75" customHeight="1" spans="1:13">
      <c r="A3" s="5"/>
      <c r="B3" s="5"/>
      <c r="C3" s="29"/>
      <c r="D3" s="5"/>
      <c r="E3" s="5"/>
      <c r="F3" s="5"/>
      <c r="G3" s="5"/>
      <c r="H3" s="5"/>
      <c r="I3" s="5"/>
      <c r="J3" s="5"/>
      <c r="K3" s="5"/>
      <c r="L3" s="5"/>
      <c r="M3" s="5"/>
    </row>
    <row r="4" ht="12.75" customHeight="1" spans="1:13">
      <c r="A4" s="5"/>
      <c r="B4" s="6"/>
      <c r="C4" s="29"/>
      <c r="D4" s="6"/>
      <c r="E4" s="5"/>
      <c r="F4" s="32"/>
      <c r="G4" s="33">
        <v>2009</v>
      </c>
      <c r="H4" s="33">
        <v>2010</v>
      </c>
      <c r="I4" s="33">
        <v>2011</v>
      </c>
      <c r="J4" s="33">
        <v>2012</v>
      </c>
      <c r="K4" s="33">
        <v>2013</v>
      </c>
      <c r="L4" s="33">
        <v>2014</v>
      </c>
      <c r="M4" s="33">
        <v>2015</v>
      </c>
    </row>
    <row r="5" ht="35.25" customHeight="1" spans="1:13">
      <c r="A5" s="14"/>
      <c r="B5" s="15" t="s">
        <v>819</v>
      </c>
      <c r="C5" s="18"/>
      <c r="D5" s="34" t="s">
        <v>26</v>
      </c>
      <c r="E5" s="14"/>
      <c r="F5" s="14"/>
      <c r="G5" s="18" t="s">
        <v>820</v>
      </c>
      <c r="H5" s="18" t="s">
        <v>30</v>
      </c>
      <c r="I5" s="18" t="s">
        <v>31</v>
      </c>
      <c r="J5" s="18" t="s">
        <v>32</v>
      </c>
      <c r="K5" s="18" t="s">
        <v>33</v>
      </c>
      <c r="L5" s="18" t="s">
        <v>34</v>
      </c>
      <c r="M5" s="18" t="s">
        <v>35</v>
      </c>
    </row>
    <row r="6" ht="12.75" customHeight="1" spans="1:13">
      <c r="A6" s="19"/>
      <c r="B6" s="19"/>
      <c r="C6" s="20" t="s">
        <v>37</v>
      </c>
      <c r="D6" s="19"/>
      <c r="E6" s="19"/>
      <c r="F6" s="19"/>
      <c r="G6" s="19"/>
      <c r="H6" s="19"/>
      <c r="I6" s="19"/>
      <c r="J6" s="19"/>
      <c r="K6" s="19"/>
      <c r="L6" s="19"/>
      <c r="M6" s="19"/>
    </row>
    <row r="7" ht="12.75" customHeight="1" spans="1:13">
      <c r="A7" s="22">
        <v>752</v>
      </c>
      <c r="B7" s="19"/>
      <c r="C7" s="19" t="s">
        <v>821</v>
      </c>
      <c r="D7" s="19" t="s">
        <v>39</v>
      </c>
      <c r="E7" s="19"/>
      <c r="F7" s="19"/>
      <c r="G7" s="24">
        <v>4885</v>
      </c>
      <c r="H7" s="19"/>
      <c r="I7" s="19"/>
      <c r="J7" s="19"/>
      <c r="K7" s="19"/>
      <c r="L7" s="19"/>
      <c r="M7" s="19"/>
    </row>
    <row r="8" ht="12.75" customHeight="1" spans="1:1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ht="12.75" customHeight="1" spans="1:13">
      <c r="A9" s="22">
        <v>753</v>
      </c>
      <c r="B9" s="19"/>
      <c r="C9" s="19" t="s">
        <v>822</v>
      </c>
      <c r="D9" s="19" t="s">
        <v>39</v>
      </c>
      <c r="E9" s="19"/>
      <c r="F9" s="19"/>
      <c r="G9" s="24">
        <v>5169</v>
      </c>
      <c r="H9" s="19"/>
      <c r="I9" s="19"/>
      <c r="J9" s="19"/>
      <c r="K9" s="19"/>
      <c r="L9" s="19"/>
      <c r="M9" s="19"/>
    </row>
    <row r="10" ht="12.75" customHeight="1" spans="1:1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ht="12.75" customHeight="1" spans="1:13">
      <c r="A11" s="19"/>
      <c r="B11" s="19"/>
      <c r="C11" s="20" t="s">
        <v>204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ht="12.75" customHeight="1" spans="1:13">
      <c r="A12" s="22">
        <v>754</v>
      </c>
      <c r="B12" s="19"/>
      <c r="C12" s="19" t="s">
        <v>823</v>
      </c>
      <c r="D12" s="19" t="s">
        <v>39</v>
      </c>
      <c r="E12" s="19"/>
      <c r="F12" s="19"/>
      <c r="G12" s="24">
        <v>4313</v>
      </c>
      <c r="H12" s="24">
        <v>4600</v>
      </c>
      <c r="I12" s="24">
        <v>5625</v>
      </c>
      <c r="J12" s="19"/>
      <c r="K12" s="19"/>
      <c r="L12" s="19"/>
      <c r="M12" s="24">
        <v>21900</v>
      </c>
    </row>
    <row r="13" ht="12.75" customHeight="1" spans="1: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ht="12.75" customHeight="1" spans="1:13">
      <c r="A14" s="22">
        <v>755</v>
      </c>
      <c r="B14" s="19"/>
      <c r="C14" s="19" t="s">
        <v>824</v>
      </c>
      <c r="D14" s="19" t="s">
        <v>39</v>
      </c>
      <c r="E14" s="19"/>
      <c r="F14" s="19"/>
      <c r="G14" s="19"/>
      <c r="H14" s="19"/>
      <c r="I14" s="19"/>
      <c r="J14" s="24">
        <v>15869</v>
      </c>
      <c r="K14" s="24">
        <v>16766</v>
      </c>
      <c r="L14" s="24">
        <v>18738</v>
      </c>
      <c r="M14" s="19"/>
    </row>
    <row r="15" ht="12.75" customHeight="1" spans="1:1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ht="12.75" customHeight="1" spans="1:13">
      <c r="A16" s="19"/>
      <c r="B16" s="19"/>
      <c r="C16" s="20" t="s">
        <v>85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ht="12.75" customHeight="1" spans="1:13">
      <c r="A17" s="22">
        <v>756</v>
      </c>
      <c r="B17" s="19"/>
      <c r="C17" s="19" t="s">
        <v>825</v>
      </c>
      <c r="D17" s="19" t="s">
        <v>39</v>
      </c>
      <c r="E17" s="19"/>
      <c r="F17" s="19"/>
      <c r="G17" s="19"/>
      <c r="H17" s="19"/>
      <c r="I17" s="24">
        <v>14829</v>
      </c>
      <c r="J17" s="24">
        <v>15988</v>
      </c>
      <c r="K17" s="24">
        <v>16766</v>
      </c>
      <c r="L17" s="24">
        <v>18738</v>
      </c>
      <c r="M17" s="19"/>
    </row>
    <row r="18" ht="12.75" customHeight="1" spans="1:1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ht="12.75" customHeight="1" spans="1:13">
      <c r="A19" s="19"/>
      <c r="B19" s="19"/>
      <c r="C19" s="20" t="s">
        <v>519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ht="12.75" customHeight="1" spans="1:13">
      <c r="A20" s="22">
        <v>757</v>
      </c>
      <c r="B20" s="19"/>
      <c r="C20" s="19" t="s">
        <v>826</v>
      </c>
      <c r="D20" s="19" t="s">
        <v>39</v>
      </c>
      <c r="E20" s="19"/>
      <c r="F20" s="19"/>
      <c r="G20" s="24">
        <v>5120</v>
      </c>
      <c r="H20" s="19"/>
      <c r="I20" s="19"/>
      <c r="J20" s="19"/>
      <c r="K20" s="19"/>
      <c r="L20" s="19"/>
      <c r="M20" s="19"/>
    </row>
    <row r="21" ht="12.75" customHeight="1" spans="1:1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ht="12.75" customHeight="1" spans="1:13">
      <c r="A22" s="2"/>
      <c r="B22" s="2"/>
      <c r="C22" s="2" t="s">
        <v>155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2.75" customHeight="1" spans="1:13">
      <c r="A23" s="6"/>
      <c r="B23" s="5"/>
      <c r="C23" s="5"/>
      <c r="D23" s="5"/>
      <c r="E23" s="5"/>
      <c r="F23" s="5"/>
      <c r="G23" s="6"/>
      <c r="H23" s="6"/>
      <c r="I23" s="6"/>
      <c r="J23" s="6"/>
      <c r="K23" s="6"/>
      <c r="L23" s="6"/>
      <c r="M23" s="6"/>
    </row>
    <row r="24" ht="12.75" customHeight="1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2.75" customHeight="1" spans="1:13">
      <c r="A25" s="6"/>
      <c r="B25" s="5"/>
      <c r="C25" s="5"/>
      <c r="D25" s="5"/>
      <c r="E25" s="5"/>
      <c r="F25" s="5"/>
      <c r="G25" s="6"/>
      <c r="H25" s="6"/>
      <c r="I25" s="6"/>
      <c r="J25" s="6"/>
      <c r="K25" s="6"/>
      <c r="L25" s="6"/>
      <c r="M25" s="6"/>
    </row>
    <row r="26" ht="24.75" customHeight="1" spans="1:13">
      <c r="A26" s="25">
        <v>758</v>
      </c>
      <c r="B26" s="14"/>
      <c r="C26" s="14"/>
      <c r="D26" s="14"/>
      <c r="E26" s="14"/>
      <c r="F26" s="14"/>
      <c r="G26" s="26">
        <v>4872</v>
      </c>
      <c r="H26" s="26">
        <v>7550</v>
      </c>
      <c r="I26" s="26">
        <v>10227</v>
      </c>
      <c r="J26" s="26">
        <v>15928</v>
      </c>
      <c r="K26" s="26">
        <v>16766</v>
      </c>
      <c r="L26" s="26">
        <v>18738</v>
      </c>
      <c r="M26" s="26">
        <v>21900</v>
      </c>
    </row>
    <row r="27" ht="12.75" customHeight="1" spans="1:1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ht="12.75" customHeight="1" spans="1:13">
      <c r="A28" s="2"/>
      <c r="B28" s="2"/>
      <c r="C28" s="28" t="s">
        <v>827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2.75" customHeight="1" spans="1:13">
      <c r="A29" s="5"/>
      <c r="B29" s="6"/>
      <c r="C29" s="29"/>
      <c r="D29" s="6"/>
      <c r="E29" s="5"/>
      <c r="F29" s="5"/>
      <c r="G29" s="6"/>
      <c r="H29" s="6"/>
      <c r="I29" s="6"/>
      <c r="J29" s="6"/>
      <c r="K29" s="6"/>
      <c r="L29" s="6"/>
      <c r="M29" s="6"/>
    </row>
    <row r="30" ht="12.75" customHeight="1" spans="1:13">
      <c r="A30" s="5"/>
      <c r="B30" s="5"/>
      <c r="C30" s="29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2.75" customHeight="1" spans="1:13">
      <c r="A31" s="5"/>
      <c r="B31" s="6"/>
      <c r="C31" s="29"/>
      <c r="D31" s="6"/>
      <c r="E31" s="5"/>
      <c r="F31" s="5"/>
      <c r="G31" s="6"/>
      <c r="H31" s="6"/>
      <c r="I31" s="6"/>
      <c r="J31" s="6"/>
      <c r="K31" s="6"/>
      <c r="L31" s="6"/>
      <c r="M31" s="6"/>
    </row>
    <row r="32" ht="38.25" customHeight="1" spans="1:13">
      <c r="A32" s="14"/>
      <c r="B32" s="15" t="s">
        <v>828</v>
      </c>
      <c r="C32" s="18"/>
      <c r="D32" s="34" t="s">
        <v>26</v>
      </c>
      <c r="E32" s="14"/>
      <c r="F32" s="14"/>
      <c r="G32" s="18" t="s">
        <v>820</v>
      </c>
      <c r="H32" s="18" t="s">
        <v>30</v>
      </c>
      <c r="I32" s="18" t="s">
        <v>31</v>
      </c>
      <c r="J32" s="18" t="s">
        <v>32</v>
      </c>
      <c r="K32" s="18" t="s">
        <v>33</v>
      </c>
      <c r="L32" s="18" t="s">
        <v>34</v>
      </c>
      <c r="M32" s="18" t="s">
        <v>35</v>
      </c>
    </row>
    <row r="33" ht="12.75" customHeight="1" spans="1:13">
      <c r="A33" s="19"/>
      <c r="B33" s="19"/>
      <c r="C33" s="20" t="s">
        <v>829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ht="12.75" customHeight="1" spans="1:13">
      <c r="A34" s="22">
        <v>759</v>
      </c>
      <c r="B34" s="19"/>
      <c r="C34" s="19" t="s">
        <v>830</v>
      </c>
      <c r="D34" s="19" t="s">
        <v>39</v>
      </c>
      <c r="E34" s="19"/>
      <c r="F34" s="19"/>
      <c r="G34" s="19"/>
      <c r="H34" s="24">
        <v>10638</v>
      </c>
      <c r="I34" s="24">
        <v>12300</v>
      </c>
      <c r="J34" s="19"/>
      <c r="K34" s="19"/>
      <c r="L34" s="19"/>
      <c r="M34" s="19"/>
    </row>
    <row r="35" ht="12.75" customHeight="1" spans="1:1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ht="12.75" customHeight="1" spans="1:13">
      <c r="A36" s="22">
        <v>760</v>
      </c>
      <c r="B36" s="19"/>
      <c r="C36" s="19" t="s">
        <v>831</v>
      </c>
      <c r="D36" s="19" t="s">
        <v>39</v>
      </c>
      <c r="E36" s="19"/>
      <c r="F36" s="19"/>
      <c r="G36" s="24">
        <v>7450</v>
      </c>
      <c r="H36" s="19"/>
      <c r="I36" s="19"/>
      <c r="J36" s="19"/>
      <c r="K36" s="19"/>
      <c r="L36" s="19"/>
      <c r="M36" s="19"/>
    </row>
    <row r="37" ht="12.75" customHeight="1" spans="1:1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ht="12.75" customHeight="1" spans="1:13">
      <c r="A38" s="19"/>
      <c r="B38" s="19"/>
      <c r="C38" s="20" t="s">
        <v>37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ht="12.75" customHeight="1" spans="1:13">
      <c r="A39" s="22">
        <v>761</v>
      </c>
      <c r="B39" s="19"/>
      <c r="C39" s="19" t="s">
        <v>832</v>
      </c>
      <c r="D39" s="19" t="s">
        <v>39</v>
      </c>
      <c r="E39" s="19"/>
      <c r="F39" s="19"/>
      <c r="G39" s="24">
        <v>8300</v>
      </c>
      <c r="H39" s="24">
        <v>9892</v>
      </c>
      <c r="I39" s="24">
        <v>12869</v>
      </c>
      <c r="J39" s="19"/>
      <c r="K39" s="19"/>
      <c r="L39" s="19"/>
      <c r="M39" s="19"/>
    </row>
    <row r="40" ht="12.75" customHeight="1" spans="1:1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ht="12.75" customHeight="1" spans="1:13">
      <c r="A41" s="22">
        <v>762</v>
      </c>
      <c r="B41" s="19"/>
      <c r="C41" s="19" t="s">
        <v>833</v>
      </c>
      <c r="D41" s="19" t="s">
        <v>39</v>
      </c>
      <c r="E41" s="19"/>
      <c r="F41" s="19"/>
      <c r="G41" s="19"/>
      <c r="H41" s="19"/>
      <c r="I41" s="19"/>
      <c r="J41" s="24">
        <v>14183</v>
      </c>
      <c r="K41" s="24">
        <v>16163</v>
      </c>
      <c r="L41" s="24">
        <v>18675</v>
      </c>
      <c r="M41" s="19"/>
    </row>
    <row r="42" ht="12.75" customHeight="1" spans="1:1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ht="12.75" customHeight="1" spans="1:13">
      <c r="A43" s="22">
        <v>763</v>
      </c>
      <c r="B43" s="19"/>
      <c r="C43" s="19" t="s">
        <v>834</v>
      </c>
      <c r="D43" s="19" t="s">
        <v>39</v>
      </c>
      <c r="E43" s="19"/>
      <c r="F43" s="19"/>
      <c r="G43" s="24">
        <v>8525</v>
      </c>
      <c r="H43" s="24">
        <v>11913</v>
      </c>
      <c r="I43" s="24">
        <v>13756</v>
      </c>
      <c r="J43" s="24">
        <v>17000</v>
      </c>
      <c r="K43" s="24">
        <v>20000</v>
      </c>
      <c r="L43" s="24">
        <v>21288</v>
      </c>
      <c r="M43" s="19"/>
    </row>
    <row r="44" ht="12.75" customHeight="1" spans="1:1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ht="12.75" customHeight="1" spans="1:13">
      <c r="A45" s="22">
        <v>764</v>
      </c>
      <c r="B45" s="19"/>
      <c r="C45" s="19" t="s">
        <v>835</v>
      </c>
      <c r="D45" s="19" t="s">
        <v>39</v>
      </c>
      <c r="E45" s="19"/>
      <c r="F45" s="19"/>
      <c r="G45" s="19"/>
      <c r="H45" s="24">
        <v>7475</v>
      </c>
      <c r="I45" s="24">
        <v>9175</v>
      </c>
      <c r="J45" s="24">
        <v>10063</v>
      </c>
      <c r="K45" s="24">
        <v>10885</v>
      </c>
      <c r="L45" s="24">
        <v>18150</v>
      </c>
      <c r="M45" s="19"/>
    </row>
    <row r="46" ht="12.75" customHeight="1" spans="1:1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ht="12.75" customHeight="1" spans="1:13">
      <c r="A47" s="22">
        <v>765</v>
      </c>
      <c r="B47" s="19"/>
      <c r="C47" s="19" t="s">
        <v>836</v>
      </c>
      <c r="D47" s="19" t="s">
        <v>39</v>
      </c>
      <c r="E47" s="19"/>
      <c r="F47" s="19"/>
      <c r="G47" s="19"/>
      <c r="H47" s="19"/>
      <c r="I47" s="24">
        <v>7583</v>
      </c>
      <c r="J47" s="24">
        <v>8358</v>
      </c>
      <c r="K47" s="24">
        <v>10413</v>
      </c>
      <c r="L47" s="24">
        <v>12338</v>
      </c>
      <c r="M47" s="19"/>
    </row>
    <row r="48" ht="12.75" customHeight="1" spans="1:1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ht="12.75" customHeight="1" spans="1:13">
      <c r="A49" s="19"/>
      <c r="B49" s="19"/>
      <c r="C49" s="20" t="s">
        <v>204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ht="12.75" customHeight="1" spans="1:13">
      <c r="A50" s="22">
        <v>766</v>
      </c>
      <c r="B50" s="19"/>
      <c r="C50" s="19" t="s">
        <v>837</v>
      </c>
      <c r="D50" s="19" t="s">
        <v>39</v>
      </c>
      <c r="E50" s="19"/>
      <c r="F50" s="19"/>
      <c r="G50" s="19"/>
      <c r="H50" s="19"/>
      <c r="I50" s="19"/>
      <c r="J50" s="19"/>
      <c r="K50" s="19"/>
      <c r="L50" s="19"/>
      <c r="M50" s="24">
        <v>26925</v>
      </c>
    </row>
    <row r="51" ht="12.75" customHeight="1" spans="1:1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ht="12.75" customHeight="1" spans="1:13">
      <c r="A52" s="19"/>
      <c r="B52" s="19"/>
      <c r="C52" s="20" t="s">
        <v>217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ht="12.75" customHeight="1" spans="1:13">
      <c r="A53" s="22">
        <v>767</v>
      </c>
      <c r="B53" s="19"/>
      <c r="C53" s="19" t="s">
        <v>838</v>
      </c>
      <c r="D53" s="19" t="s">
        <v>39</v>
      </c>
      <c r="E53" s="19"/>
      <c r="F53" s="19"/>
      <c r="G53" s="24">
        <v>8340</v>
      </c>
      <c r="H53" s="24">
        <v>9713</v>
      </c>
      <c r="I53" s="24">
        <v>11145</v>
      </c>
      <c r="J53" s="24">
        <v>13013</v>
      </c>
      <c r="K53" s="24">
        <v>14893</v>
      </c>
      <c r="L53" s="24">
        <v>17386</v>
      </c>
      <c r="M53" s="24">
        <v>19994</v>
      </c>
    </row>
    <row r="54" ht="12.75" customHeight="1" spans="1:1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ht="12.75" customHeight="1" spans="1:13">
      <c r="A55" s="19"/>
      <c r="B55" s="19"/>
      <c r="C55" s="20" t="s">
        <v>85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ht="12.75" customHeight="1" spans="1:13">
      <c r="A56" s="22">
        <v>768</v>
      </c>
      <c r="B56" s="19"/>
      <c r="C56" s="19" t="s">
        <v>839</v>
      </c>
      <c r="D56" s="19" t="s">
        <v>39</v>
      </c>
      <c r="E56" s="19"/>
      <c r="F56" s="19"/>
      <c r="G56" s="24">
        <v>7700</v>
      </c>
      <c r="H56" s="24">
        <v>8458</v>
      </c>
      <c r="I56" s="24">
        <v>12978</v>
      </c>
      <c r="J56" s="24">
        <v>14850</v>
      </c>
      <c r="K56" s="24">
        <v>17147</v>
      </c>
      <c r="L56" s="19"/>
      <c r="M56" s="19"/>
    </row>
    <row r="57" ht="12.75" customHeight="1" spans="1:1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ht="12.75" customHeight="1" spans="1:13">
      <c r="A58" s="22">
        <v>769</v>
      </c>
      <c r="B58" s="19"/>
      <c r="C58" s="19" t="s">
        <v>840</v>
      </c>
      <c r="D58" s="19" t="s">
        <v>39</v>
      </c>
      <c r="E58" s="19"/>
      <c r="F58" s="19"/>
      <c r="G58" s="24">
        <v>10700</v>
      </c>
      <c r="H58" s="24">
        <v>12063</v>
      </c>
      <c r="I58" s="24">
        <v>16763</v>
      </c>
      <c r="J58" s="24">
        <v>19292</v>
      </c>
      <c r="K58" s="24">
        <v>21717</v>
      </c>
      <c r="L58" s="19"/>
      <c r="M58" s="19"/>
    </row>
    <row r="59" ht="12.75" customHeight="1" spans="1:1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ht="12.75" customHeight="1" spans="1:13">
      <c r="A60" s="22">
        <v>770</v>
      </c>
      <c r="B60" s="19"/>
      <c r="C60" s="19" t="s">
        <v>841</v>
      </c>
      <c r="D60" s="19" t="s">
        <v>39</v>
      </c>
      <c r="E60" s="19"/>
      <c r="F60" s="19"/>
      <c r="G60" s="19"/>
      <c r="H60" s="19"/>
      <c r="I60" s="19"/>
      <c r="J60" s="19"/>
      <c r="K60" s="19"/>
      <c r="L60" s="24">
        <v>26175</v>
      </c>
      <c r="M60" s="19"/>
    </row>
    <row r="61" ht="12.75" customHeight="1" spans="1:1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ht="12.75" customHeight="1" spans="1:13">
      <c r="A62" s="22">
        <v>771</v>
      </c>
      <c r="B62" s="19"/>
      <c r="C62" s="19" t="s">
        <v>842</v>
      </c>
      <c r="D62" s="19" t="s">
        <v>39</v>
      </c>
      <c r="E62" s="19"/>
      <c r="F62" s="19"/>
      <c r="G62" s="24">
        <v>9988</v>
      </c>
      <c r="H62" s="24">
        <v>13538</v>
      </c>
      <c r="I62" s="24">
        <v>15175</v>
      </c>
      <c r="J62" s="19"/>
      <c r="K62" s="19"/>
      <c r="L62" s="19"/>
      <c r="M62" s="19"/>
    </row>
    <row r="63" ht="12.75" customHeight="1" spans="1:1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ht="12.75" customHeight="1" spans="1:13">
      <c r="A64" s="22">
        <v>772</v>
      </c>
      <c r="B64" s="19"/>
      <c r="C64" s="19" t="s">
        <v>824</v>
      </c>
      <c r="D64" s="19" t="s">
        <v>39</v>
      </c>
      <c r="E64" s="19"/>
      <c r="F64" s="19"/>
      <c r="G64" s="19"/>
      <c r="H64" s="19"/>
      <c r="I64" s="19"/>
      <c r="J64" s="19"/>
      <c r="K64" s="19"/>
      <c r="L64" s="19"/>
      <c r="M64" s="24">
        <v>29136</v>
      </c>
    </row>
    <row r="65" ht="12.75" customHeight="1" spans="1:1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ht="12.75" customHeight="1" spans="1:13">
      <c r="A66" s="19"/>
      <c r="B66" s="19"/>
      <c r="C66" s="20" t="s">
        <v>519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ht="12.75" customHeight="1" spans="1:13">
      <c r="A67" s="22">
        <v>773</v>
      </c>
      <c r="B67" s="19"/>
      <c r="C67" s="19" t="s">
        <v>843</v>
      </c>
      <c r="D67" s="19" t="s">
        <v>39</v>
      </c>
      <c r="E67" s="19"/>
      <c r="F67" s="19"/>
      <c r="G67" s="24">
        <v>4213</v>
      </c>
      <c r="H67" s="24">
        <v>5638</v>
      </c>
      <c r="I67" s="24">
        <v>6188</v>
      </c>
      <c r="J67" s="19"/>
      <c r="K67" s="19"/>
      <c r="L67" s="19"/>
      <c r="M67" s="19"/>
    </row>
    <row r="68" ht="12.75" customHeight="1" spans="1:1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ht="12.75" customHeight="1" spans="1:13">
      <c r="A69" s="22">
        <v>774</v>
      </c>
      <c r="B69" s="19"/>
      <c r="C69" s="19" t="s">
        <v>844</v>
      </c>
      <c r="D69" s="19" t="s">
        <v>39</v>
      </c>
      <c r="E69" s="19"/>
      <c r="F69" s="19"/>
      <c r="G69" s="24">
        <v>8400</v>
      </c>
      <c r="H69" s="24">
        <v>10000</v>
      </c>
      <c r="I69" s="24">
        <v>12297</v>
      </c>
      <c r="J69" s="24">
        <v>14183</v>
      </c>
      <c r="K69" s="24">
        <v>16163</v>
      </c>
      <c r="L69" s="24">
        <v>16675</v>
      </c>
      <c r="M69" s="19"/>
    </row>
    <row r="70" ht="12.75" customHeight="1" spans="1:1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ht="12.75" customHeight="1" spans="1:13">
      <c r="A71" s="22">
        <v>775</v>
      </c>
      <c r="B71" s="19"/>
      <c r="C71" s="19" t="s">
        <v>845</v>
      </c>
      <c r="D71" s="19" t="s">
        <v>39</v>
      </c>
      <c r="E71" s="19"/>
      <c r="F71" s="19"/>
      <c r="G71" s="24">
        <v>8613</v>
      </c>
      <c r="H71" s="24">
        <v>11133</v>
      </c>
      <c r="I71" s="24">
        <v>12667</v>
      </c>
      <c r="J71" s="24">
        <v>17000</v>
      </c>
      <c r="K71" s="24">
        <v>20000</v>
      </c>
      <c r="L71" s="24">
        <v>21288</v>
      </c>
      <c r="M71" s="19"/>
    </row>
    <row r="72" ht="12.75" customHeight="1" spans="1:1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ht="12.75" customHeight="1" spans="1:13">
      <c r="A73" s="22">
        <v>776</v>
      </c>
      <c r="B73" s="19"/>
      <c r="C73" s="19" t="s">
        <v>835</v>
      </c>
      <c r="D73" s="19" t="s">
        <v>39</v>
      </c>
      <c r="E73" s="19"/>
      <c r="F73" s="19"/>
      <c r="G73" s="24">
        <v>5269</v>
      </c>
      <c r="H73" s="24">
        <v>7475</v>
      </c>
      <c r="I73" s="24">
        <v>9175</v>
      </c>
      <c r="J73" s="24">
        <v>10100</v>
      </c>
      <c r="K73" s="24">
        <v>10885</v>
      </c>
      <c r="L73" s="24">
        <v>18150</v>
      </c>
      <c r="M73" s="19"/>
    </row>
    <row r="74" ht="12.75" customHeight="1" spans="1:1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ht="12.75" customHeight="1" spans="1:13">
      <c r="A75" s="22">
        <v>777</v>
      </c>
      <c r="B75" s="19"/>
      <c r="C75" s="19" t="s">
        <v>846</v>
      </c>
      <c r="D75" s="19" t="s">
        <v>39</v>
      </c>
      <c r="E75" s="19"/>
      <c r="F75" s="19"/>
      <c r="G75" s="19"/>
      <c r="H75" s="24">
        <v>6242</v>
      </c>
      <c r="I75" s="24">
        <v>7583</v>
      </c>
      <c r="J75" s="24">
        <v>8358</v>
      </c>
      <c r="K75" s="24">
        <v>10413</v>
      </c>
      <c r="L75" s="24">
        <v>12338</v>
      </c>
      <c r="M75" s="19"/>
    </row>
    <row r="76" ht="12.75" customHeight="1" spans="1:1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ht="12.75" customHeight="1" spans="1:13">
      <c r="A77" s="19"/>
      <c r="B77" s="19"/>
      <c r="C77" s="20" t="s">
        <v>847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ht="12.75" customHeight="1" spans="1:13">
      <c r="A78" s="22">
        <v>778</v>
      </c>
      <c r="B78" s="19"/>
      <c r="C78" s="19" t="s">
        <v>843</v>
      </c>
      <c r="D78" s="19" t="s">
        <v>39</v>
      </c>
      <c r="E78" s="19"/>
      <c r="F78" s="19"/>
      <c r="G78" s="24">
        <v>6558</v>
      </c>
      <c r="H78" s="24">
        <v>9213</v>
      </c>
      <c r="I78" s="24">
        <v>11059</v>
      </c>
      <c r="J78" s="24">
        <v>13200</v>
      </c>
      <c r="K78" s="24">
        <v>15358</v>
      </c>
      <c r="L78" s="19"/>
      <c r="M78" s="19"/>
    </row>
    <row r="79" ht="12.75" customHeight="1" spans="1:1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ht="12.75" customHeight="1" spans="1:13">
      <c r="A80" s="22">
        <v>779</v>
      </c>
      <c r="B80" s="19"/>
      <c r="C80" s="19" t="s">
        <v>848</v>
      </c>
      <c r="D80" s="19" t="s">
        <v>39</v>
      </c>
      <c r="E80" s="19"/>
      <c r="F80" s="19"/>
      <c r="G80" s="19"/>
      <c r="H80" s="19"/>
      <c r="I80" s="19"/>
      <c r="J80" s="19"/>
      <c r="K80" s="19"/>
      <c r="L80" s="24">
        <v>18513</v>
      </c>
      <c r="M80" s="24">
        <v>21290</v>
      </c>
    </row>
    <row r="81" ht="12.75" customHeight="1" spans="1:1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ht="12.75" customHeight="1" spans="1:13">
      <c r="A82" s="19"/>
      <c r="B82" s="19"/>
      <c r="C82" s="20" t="s">
        <v>103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ht="12.75" customHeight="1" spans="1:13">
      <c r="A83" s="22">
        <v>780</v>
      </c>
      <c r="B83" s="19"/>
      <c r="C83" s="19" t="s">
        <v>849</v>
      </c>
      <c r="D83" s="19" t="s">
        <v>39</v>
      </c>
      <c r="E83" s="19"/>
      <c r="F83" s="19"/>
      <c r="G83" s="19"/>
      <c r="H83" s="19"/>
      <c r="I83" s="19"/>
      <c r="J83" s="19"/>
      <c r="K83" s="19"/>
      <c r="L83" s="19"/>
      <c r="M83" s="24">
        <v>42269</v>
      </c>
    </row>
    <row r="84" ht="12.75" customHeight="1" spans="1:1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ht="12.75" customHeight="1" spans="1:13">
      <c r="A85" s="22">
        <v>781</v>
      </c>
      <c r="B85" s="19"/>
      <c r="C85" s="19" t="s">
        <v>848</v>
      </c>
      <c r="D85" s="19" t="s">
        <v>39</v>
      </c>
      <c r="E85" s="19"/>
      <c r="F85" s="19"/>
      <c r="G85" s="24">
        <v>12000</v>
      </c>
      <c r="H85" s="24">
        <v>13168</v>
      </c>
      <c r="I85" s="24">
        <v>15121</v>
      </c>
      <c r="J85" s="24">
        <v>17756</v>
      </c>
      <c r="K85" s="24">
        <v>20069</v>
      </c>
      <c r="L85" s="24">
        <v>23431</v>
      </c>
      <c r="M85" s="19"/>
    </row>
    <row r="86" ht="12.75" customHeight="1" spans="1:1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ht="12.75" customHeight="1" spans="1:13">
      <c r="A87" s="19"/>
      <c r="B87" s="19"/>
      <c r="C87" s="20" t="s">
        <v>530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ht="12.75" customHeight="1" spans="1:13">
      <c r="A88" s="22">
        <v>782</v>
      </c>
      <c r="B88" s="19"/>
      <c r="C88" s="19" t="s">
        <v>850</v>
      </c>
      <c r="D88" s="19" t="s">
        <v>39</v>
      </c>
      <c r="E88" s="19"/>
      <c r="F88" s="19"/>
      <c r="G88" s="24">
        <v>7335</v>
      </c>
      <c r="H88" s="24">
        <v>9579</v>
      </c>
      <c r="I88" s="24">
        <v>10711</v>
      </c>
      <c r="J88" s="24">
        <v>11015</v>
      </c>
      <c r="K88" s="24">
        <v>14650</v>
      </c>
      <c r="L88" s="19"/>
      <c r="M88" s="19"/>
    </row>
    <row r="89" ht="12.75" customHeight="1" spans="1:1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ht="12.75" customHeight="1" spans="1:13">
      <c r="A90" s="19"/>
      <c r="B90" s="19"/>
      <c r="C90" s="20" t="s">
        <v>113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ht="12.75" customHeight="1" spans="1:13">
      <c r="A91" s="22">
        <v>783</v>
      </c>
      <c r="B91" s="19"/>
      <c r="C91" s="19" t="s">
        <v>851</v>
      </c>
      <c r="D91" s="19" t="s">
        <v>39</v>
      </c>
      <c r="E91" s="19"/>
      <c r="F91" s="19"/>
      <c r="G91" s="24">
        <v>10975</v>
      </c>
      <c r="H91" s="24">
        <v>13475</v>
      </c>
      <c r="I91" s="24">
        <v>18225</v>
      </c>
      <c r="J91" s="24">
        <v>20525</v>
      </c>
      <c r="K91" s="24">
        <v>23725</v>
      </c>
      <c r="L91" s="24">
        <v>27250</v>
      </c>
      <c r="M91" s="19"/>
    </row>
    <row r="92" ht="12.75" customHeight="1" spans="1:1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ht="12.75" customHeight="1" spans="1:13">
      <c r="A93" s="19"/>
      <c r="B93" s="19"/>
      <c r="C93" s="20" t="s">
        <v>119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ht="12.75" customHeight="1" spans="1:13">
      <c r="A94" s="22">
        <v>784</v>
      </c>
      <c r="B94" s="19"/>
      <c r="C94" s="19" t="s">
        <v>852</v>
      </c>
      <c r="D94" s="19" t="s">
        <v>39</v>
      </c>
      <c r="E94" s="19"/>
      <c r="F94" s="19"/>
      <c r="G94" s="24">
        <v>7358</v>
      </c>
      <c r="H94" s="24">
        <v>10142</v>
      </c>
      <c r="I94" s="19"/>
      <c r="J94" s="19"/>
      <c r="K94" s="19"/>
      <c r="L94" s="19"/>
      <c r="M94" s="19"/>
    </row>
    <row r="95" ht="12.75" customHeight="1" spans="1:1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ht="12.75" customHeight="1" spans="1:13">
      <c r="A96" s="22">
        <v>785</v>
      </c>
      <c r="B96" s="19"/>
      <c r="C96" s="19" t="s">
        <v>853</v>
      </c>
      <c r="D96" s="19" t="s">
        <v>39</v>
      </c>
      <c r="E96" s="19"/>
      <c r="F96" s="19"/>
      <c r="G96" s="24">
        <v>7542</v>
      </c>
      <c r="H96" s="24">
        <v>8942</v>
      </c>
      <c r="I96" s="19"/>
      <c r="J96" s="19"/>
      <c r="K96" s="19"/>
      <c r="L96" s="19"/>
      <c r="M96" s="19"/>
    </row>
    <row r="97" ht="12.75" customHeight="1" spans="1:1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ht="12.75" customHeight="1" spans="1:13">
      <c r="A98" s="22">
        <v>786</v>
      </c>
      <c r="B98" s="19"/>
      <c r="C98" s="19" t="s">
        <v>854</v>
      </c>
      <c r="D98" s="19" t="s">
        <v>39</v>
      </c>
      <c r="E98" s="19"/>
      <c r="F98" s="19"/>
      <c r="G98" s="19"/>
      <c r="H98" s="19"/>
      <c r="I98" s="24">
        <v>14569</v>
      </c>
      <c r="J98" s="19"/>
      <c r="K98" s="19"/>
      <c r="L98" s="19"/>
      <c r="M98" s="19"/>
    </row>
    <row r="99" ht="12.75" customHeight="1" spans="1:1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ht="12.75" customHeight="1" spans="1:13">
      <c r="A100" s="19"/>
      <c r="B100" s="19"/>
      <c r="C100" s="20" t="s">
        <v>855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  <row r="101" ht="12.75" customHeight="1" spans="1:13">
      <c r="A101" s="22">
        <v>787</v>
      </c>
      <c r="B101" s="19"/>
      <c r="C101" s="19" t="s">
        <v>856</v>
      </c>
      <c r="D101" s="19" t="s">
        <v>39</v>
      </c>
      <c r="E101" s="19"/>
      <c r="F101" s="19"/>
      <c r="G101" s="19"/>
      <c r="H101" s="24">
        <v>9778</v>
      </c>
      <c r="I101" s="24">
        <v>10134</v>
      </c>
      <c r="J101" s="24">
        <v>12219</v>
      </c>
      <c r="K101" s="24">
        <v>13236</v>
      </c>
      <c r="L101" s="19"/>
      <c r="M101" s="19"/>
    </row>
    <row r="102" ht="12.75" customHeight="1" spans="1:1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ht="12.75" customHeight="1" spans="1:13">
      <c r="A103" s="19"/>
      <c r="B103" s="19"/>
      <c r="C103" s="20" t="s">
        <v>129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</row>
    <row r="104" ht="12.75" customHeight="1" spans="1:13">
      <c r="A104" s="22">
        <v>788</v>
      </c>
      <c r="B104" s="19"/>
      <c r="C104" s="19" t="s">
        <v>843</v>
      </c>
      <c r="D104" s="19" t="s">
        <v>39</v>
      </c>
      <c r="E104" s="19"/>
      <c r="F104" s="19"/>
      <c r="G104" s="19"/>
      <c r="H104" s="24">
        <v>13725</v>
      </c>
      <c r="I104" s="24">
        <v>17700</v>
      </c>
      <c r="J104" s="24">
        <v>20500</v>
      </c>
      <c r="K104" s="19"/>
      <c r="L104" s="19"/>
      <c r="M104" s="19"/>
    </row>
    <row r="105" ht="12.75" customHeight="1" spans="1:1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ht="12.75" customHeight="1" spans="1:13">
      <c r="A106" s="22">
        <v>789</v>
      </c>
      <c r="B106" s="19"/>
      <c r="C106" s="19" t="s">
        <v>857</v>
      </c>
      <c r="D106" s="19" t="s">
        <v>39</v>
      </c>
      <c r="E106" s="19"/>
      <c r="F106" s="19"/>
      <c r="G106" s="24">
        <v>10975</v>
      </c>
      <c r="H106" s="24">
        <v>13475</v>
      </c>
      <c r="I106" s="24">
        <v>18225</v>
      </c>
      <c r="J106" s="24">
        <v>20525</v>
      </c>
      <c r="K106" s="24">
        <v>23725</v>
      </c>
      <c r="L106" s="19"/>
      <c r="M106" s="19"/>
    </row>
    <row r="107" ht="12.75" customHeight="1" spans="1:1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</row>
    <row r="108" ht="12.75" customHeight="1" spans="1:13">
      <c r="A108" s="19"/>
      <c r="B108" s="19"/>
      <c r="C108" s="20" t="s">
        <v>139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ht="12.75" customHeight="1" spans="1:13">
      <c r="A109" s="22">
        <v>790</v>
      </c>
      <c r="B109" s="19"/>
      <c r="C109" s="19" t="s">
        <v>858</v>
      </c>
      <c r="D109" s="19" t="s">
        <v>39</v>
      </c>
      <c r="E109" s="19"/>
      <c r="F109" s="19"/>
      <c r="G109" s="19"/>
      <c r="H109" s="24">
        <v>7433</v>
      </c>
      <c r="I109" s="24">
        <v>9942</v>
      </c>
      <c r="J109" s="24">
        <v>10875</v>
      </c>
      <c r="K109" s="19"/>
      <c r="L109" s="19"/>
      <c r="M109" s="19"/>
    </row>
    <row r="110" ht="12.75" customHeight="1" spans="1:1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ht="12.75" customHeight="1" spans="1:13">
      <c r="A111" s="22">
        <v>791</v>
      </c>
      <c r="B111" s="19"/>
      <c r="C111" s="19" t="s">
        <v>859</v>
      </c>
      <c r="D111" s="19" t="s">
        <v>39</v>
      </c>
      <c r="E111" s="19"/>
      <c r="F111" s="19"/>
      <c r="G111" s="19"/>
      <c r="H111" s="19"/>
      <c r="I111" s="19"/>
      <c r="J111" s="24">
        <v>9525</v>
      </c>
      <c r="K111" s="24">
        <v>14375</v>
      </c>
      <c r="L111" s="24">
        <v>15300</v>
      </c>
      <c r="M111" s="19"/>
    </row>
    <row r="112" ht="12.75" customHeight="1" spans="1:13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ht="12.75" customHeight="1" spans="1:13">
      <c r="A113" s="22">
        <v>792</v>
      </c>
      <c r="B113" s="19"/>
      <c r="C113" s="19" t="s">
        <v>860</v>
      </c>
      <c r="D113" s="19" t="s">
        <v>39</v>
      </c>
      <c r="E113" s="19"/>
      <c r="F113" s="19"/>
      <c r="G113" s="19"/>
      <c r="H113" s="24">
        <v>11425</v>
      </c>
      <c r="I113" s="24">
        <v>13825</v>
      </c>
      <c r="J113" s="19"/>
      <c r="K113" s="19"/>
      <c r="L113" s="19"/>
      <c r="M113" s="19"/>
    </row>
    <row r="114" ht="12.75" customHeight="1" spans="1:13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ht="12.75" customHeight="1" spans="1:13">
      <c r="A115" s="22">
        <v>793</v>
      </c>
      <c r="B115" s="19"/>
      <c r="C115" s="19" t="s">
        <v>842</v>
      </c>
      <c r="D115" s="19" t="s">
        <v>39</v>
      </c>
      <c r="E115" s="19"/>
      <c r="F115" s="19"/>
      <c r="G115" s="24">
        <v>9988</v>
      </c>
      <c r="H115" s="24">
        <v>12888</v>
      </c>
      <c r="I115" s="24">
        <v>15175</v>
      </c>
      <c r="J115" s="24">
        <v>19925</v>
      </c>
      <c r="K115" s="24">
        <v>21050</v>
      </c>
      <c r="L115" s="24">
        <v>22325</v>
      </c>
      <c r="M115" s="19"/>
    </row>
    <row r="116" ht="12.75" customHeight="1" spans="1:13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ht="12.75" customHeight="1" spans="1:13">
      <c r="A117" s="19"/>
      <c r="B117" s="19"/>
      <c r="C117" s="20" t="s">
        <v>861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ht="12.75" customHeight="1" spans="1:13">
      <c r="A118" s="22">
        <v>794</v>
      </c>
      <c r="B118" s="19"/>
      <c r="C118" s="19" t="s">
        <v>862</v>
      </c>
      <c r="D118" s="19" t="s">
        <v>39</v>
      </c>
      <c r="E118" s="19"/>
      <c r="F118" s="19"/>
      <c r="G118" s="24">
        <v>6490</v>
      </c>
      <c r="H118" s="24">
        <v>9200</v>
      </c>
      <c r="I118" s="24">
        <v>10082</v>
      </c>
      <c r="J118" s="24">
        <v>12329</v>
      </c>
      <c r="K118" s="24">
        <v>14418</v>
      </c>
      <c r="L118" s="24">
        <v>15589</v>
      </c>
      <c r="M118" s="19"/>
    </row>
    <row r="119" ht="12.75" customHeight="1" spans="1:1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</row>
    <row r="120" ht="12.75" customHeight="1" spans="1:13">
      <c r="A120" s="2"/>
      <c r="B120" s="2"/>
      <c r="C120" s="2" t="s">
        <v>155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2.75" customHeight="1" spans="1:13">
      <c r="A121" s="6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6"/>
      <c r="M121" s="6"/>
    </row>
    <row r="122" ht="12.75" customHeight="1" spans="1:1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2.75" customHeight="1" spans="1:13">
      <c r="A123" s="6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6"/>
      <c r="M123" s="6"/>
    </row>
    <row r="124" ht="13.5" customHeight="1" spans="1:13">
      <c r="A124" s="25">
        <v>795</v>
      </c>
      <c r="B124" s="14"/>
      <c r="C124" s="14"/>
      <c r="D124" s="14"/>
      <c r="E124" s="14"/>
      <c r="F124" s="14"/>
      <c r="G124" s="26">
        <v>8249</v>
      </c>
      <c r="H124" s="26">
        <v>10149</v>
      </c>
      <c r="I124" s="26">
        <v>12370</v>
      </c>
      <c r="J124" s="26">
        <v>14267</v>
      </c>
      <c r="K124" s="26">
        <v>16325</v>
      </c>
      <c r="L124" s="26">
        <v>19089</v>
      </c>
      <c r="M124" s="26">
        <v>22907</v>
      </c>
    </row>
    <row r="125" ht="12.75" customHeight="1" spans="1:1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</row>
    <row r="126" ht="12.75" customHeight="1" spans="1:13">
      <c r="A126" s="2"/>
      <c r="B126" s="2"/>
      <c r="C126" s="28" t="s">
        <v>863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2.75" customHeight="1" spans="1:13">
      <c r="A127" s="5"/>
      <c r="B127" s="6"/>
      <c r="C127" s="29"/>
      <c r="D127" s="6"/>
      <c r="E127" s="5"/>
      <c r="F127" s="5"/>
      <c r="G127" s="6"/>
      <c r="H127" s="6"/>
      <c r="I127" s="6"/>
      <c r="J127" s="6"/>
      <c r="K127" s="6"/>
      <c r="L127" s="6"/>
      <c r="M127" s="6"/>
    </row>
    <row r="128" ht="12.75" customHeight="1" spans="1:13">
      <c r="A128" s="5"/>
      <c r="B128" s="5"/>
      <c r="C128" s="29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2.75" customHeight="1" spans="1:13">
      <c r="A129" s="5"/>
      <c r="B129" s="6"/>
      <c r="C129" s="29"/>
      <c r="D129" s="6"/>
      <c r="E129" s="5"/>
      <c r="F129" s="5"/>
      <c r="G129" s="6"/>
      <c r="H129" s="6"/>
      <c r="I129" s="6"/>
      <c r="J129" s="6"/>
      <c r="K129" s="6"/>
      <c r="L129" s="6"/>
      <c r="M129" s="6"/>
    </row>
    <row r="130" ht="33.75" customHeight="1" spans="1:13">
      <c r="A130" s="14"/>
      <c r="B130" s="15" t="s">
        <v>864</v>
      </c>
      <c r="C130" s="18"/>
      <c r="D130" s="34" t="s">
        <v>26</v>
      </c>
      <c r="E130" s="14"/>
      <c r="F130" s="14"/>
      <c r="G130" s="18" t="s">
        <v>820</v>
      </c>
      <c r="H130" s="18" t="s">
        <v>30</v>
      </c>
      <c r="I130" s="18" t="s">
        <v>31</v>
      </c>
      <c r="J130" s="18" t="s">
        <v>32</v>
      </c>
      <c r="K130" s="18" t="s">
        <v>33</v>
      </c>
      <c r="L130" s="18" t="s">
        <v>34</v>
      </c>
      <c r="M130" s="18" t="s">
        <v>35</v>
      </c>
    </row>
    <row r="131" ht="12.75" customHeight="1" spans="1:13">
      <c r="A131" s="19"/>
      <c r="B131" s="19"/>
      <c r="C131" s="20" t="s">
        <v>113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</row>
    <row r="132" ht="12.75" customHeight="1" spans="1:13">
      <c r="A132" s="22">
        <v>796</v>
      </c>
      <c r="B132" s="19"/>
      <c r="C132" s="19" t="s">
        <v>843</v>
      </c>
      <c r="D132" s="19" t="s">
        <v>39</v>
      </c>
      <c r="E132" s="19"/>
      <c r="F132" s="19"/>
      <c r="G132" s="19"/>
      <c r="H132" s="19"/>
      <c r="I132" s="24">
        <v>22850</v>
      </c>
      <c r="J132" s="24">
        <v>26600</v>
      </c>
      <c r="K132" s="24">
        <v>31650</v>
      </c>
      <c r="L132" s="19"/>
      <c r="M132" s="19"/>
    </row>
    <row r="133" ht="12.75" customHeight="1" spans="1:1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ht="12.75" customHeight="1" spans="1:13">
      <c r="A134" s="2"/>
      <c r="B134" s="2"/>
      <c r="C134" s="2" t="s">
        <v>155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2.75" customHeight="1" spans="1:13">
      <c r="A135" s="6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5"/>
      <c r="M135" s="5"/>
    </row>
    <row r="136" ht="12.75" customHeight="1" spans="1:1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2.75" customHeight="1" spans="1:13">
      <c r="A137" s="6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5"/>
      <c r="M137" s="5"/>
    </row>
    <row r="138" ht="12.75" customHeight="1" spans="1:13">
      <c r="A138" s="25">
        <v>797</v>
      </c>
      <c r="B138" s="14"/>
      <c r="C138" s="14"/>
      <c r="D138" s="14"/>
      <c r="E138" s="14"/>
      <c r="F138" s="14"/>
      <c r="G138" s="26">
        <v>12853</v>
      </c>
      <c r="H138" s="26">
        <v>17138</v>
      </c>
      <c r="I138" s="26">
        <v>22850</v>
      </c>
      <c r="J138" s="26">
        <v>26600</v>
      </c>
      <c r="K138" s="26">
        <v>31650</v>
      </c>
      <c r="L138" s="14"/>
      <c r="M138" s="14"/>
    </row>
    <row r="139" ht="12.75" customHeight="1" spans="1:1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</row>
  </sheetData>
  <mergeCells count="29">
    <mergeCell ref="A1:A5"/>
    <mergeCell ref="A28:A32"/>
    <mergeCell ref="A126:A130"/>
    <mergeCell ref="B22:B26"/>
    <mergeCell ref="B120:B124"/>
    <mergeCell ref="B134:B138"/>
    <mergeCell ref="C1:C5"/>
    <mergeCell ref="C22:C26"/>
    <mergeCell ref="C28:C32"/>
    <mergeCell ref="C120:C124"/>
    <mergeCell ref="C126:C130"/>
    <mergeCell ref="C134:C138"/>
    <mergeCell ref="D22:D26"/>
    <mergeCell ref="D120:D124"/>
    <mergeCell ref="D134:D138"/>
    <mergeCell ref="E1:E5"/>
    <mergeCell ref="E22:E26"/>
    <mergeCell ref="E28:E32"/>
    <mergeCell ref="E120:E124"/>
    <mergeCell ref="E126:E130"/>
    <mergeCell ref="E134:E138"/>
    <mergeCell ref="F1:F5"/>
    <mergeCell ref="F22:F26"/>
    <mergeCell ref="F28:F32"/>
    <mergeCell ref="F120:F124"/>
    <mergeCell ref="F126:F130"/>
    <mergeCell ref="F134:F138"/>
    <mergeCell ref="L134:L138"/>
    <mergeCell ref="M134:M138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4"/>
  <sheetViews>
    <sheetView topLeftCell="A88" workbookViewId="0">
      <selection activeCell="M155" sqref="M155"/>
    </sheetView>
  </sheetViews>
  <sheetFormatPr defaultColWidth="11.4259259259259" defaultRowHeight="14.4"/>
  <cols>
    <col min="1" max="2" width="12.712962962963" customWidth="1"/>
    <col min="3" max="3" width="37.8518518518519" customWidth="1"/>
    <col min="4" max="4" width="18.287037037037" customWidth="1"/>
    <col min="5" max="5" width="15.5740740740741" customWidth="1"/>
    <col min="6" max="6" width="12.712962962963" customWidth="1"/>
    <col min="7" max="7" width="13.712962962963" customWidth="1"/>
    <col min="8" max="9" width="12.712962962963" style="1" customWidth="1"/>
    <col min="10" max="13" width="12.712962962963" customWidth="1"/>
  </cols>
  <sheetData>
    <row r="1" ht="14.1" customHeight="1" spans="1:13">
      <c r="A1" s="2"/>
      <c r="B1" s="2"/>
      <c r="C1" s="3" t="s">
        <v>865</v>
      </c>
      <c r="D1" s="2"/>
      <c r="E1" s="2"/>
      <c r="F1" s="2"/>
      <c r="G1" s="2"/>
      <c r="H1" s="4"/>
      <c r="I1" s="4"/>
      <c r="J1" s="2"/>
      <c r="K1" s="2"/>
      <c r="L1" s="2"/>
      <c r="M1" s="2"/>
    </row>
    <row r="2" ht="14.1" customHeight="1" spans="1:13">
      <c r="A2" s="5"/>
      <c r="B2" s="6"/>
      <c r="C2" s="7"/>
      <c r="D2" s="6"/>
      <c r="E2" s="6"/>
      <c r="F2" s="6"/>
      <c r="G2" s="6"/>
      <c r="H2" s="8"/>
      <c r="I2" s="8"/>
      <c r="J2" s="6"/>
      <c r="K2" s="6"/>
      <c r="L2" s="6"/>
      <c r="M2" s="6"/>
    </row>
    <row r="3" ht="14.1" customHeight="1" spans="1:13">
      <c r="A3" s="5"/>
      <c r="B3" s="5"/>
      <c r="C3" s="7"/>
      <c r="D3" s="9"/>
      <c r="E3" s="10"/>
      <c r="F3" s="5"/>
      <c r="G3" s="5"/>
      <c r="H3" s="11"/>
      <c r="I3" s="11"/>
      <c r="J3" s="5"/>
      <c r="K3" s="5"/>
      <c r="L3" s="5"/>
      <c r="M3" s="5"/>
    </row>
    <row r="4" ht="15.75" customHeight="1" spans="1:13">
      <c r="A4" s="5"/>
      <c r="B4" s="6"/>
      <c r="C4" s="7"/>
      <c r="D4" s="12"/>
      <c r="E4" s="13">
        <v>2007</v>
      </c>
      <c r="F4" s="13">
        <v>2008</v>
      </c>
      <c r="G4" s="13">
        <v>2009</v>
      </c>
      <c r="H4" s="13">
        <v>2010</v>
      </c>
      <c r="I4" s="13">
        <v>2011</v>
      </c>
      <c r="J4" s="13">
        <v>2012</v>
      </c>
      <c r="K4" s="13">
        <v>2013</v>
      </c>
      <c r="L4" s="13">
        <v>2014</v>
      </c>
      <c r="M4" s="13">
        <v>2015</v>
      </c>
    </row>
    <row r="5" ht="27" customHeight="1" spans="1:13">
      <c r="A5" s="14"/>
      <c r="B5" s="15" t="s">
        <v>866</v>
      </c>
      <c r="C5" s="16"/>
      <c r="D5" s="17" t="s">
        <v>26</v>
      </c>
      <c r="E5" s="7" t="s">
        <v>27</v>
      </c>
      <c r="F5" s="16" t="s">
        <v>28</v>
      </c>
      <c r="G5" s="16" t="s">
        <v>29</v>
      </c>
      <c r="H5" s="18" t="s">
        <v>30</v>
      </c>
      <c r="I5" s="18" t="s">
        <v>31</v>
      </c>
      <c r="J5" s="16" t="s">
        <v>32</v>
      </c>
      <c r="K5" s="16" t="s">
        <v>33</v>
      </c>
      <c r="L5" s="16" t="s">
        <v>34</v>
      </c>
      <c r="M5" s="16" t="s">
        <v>35</v>
      </c>
    </row>
    <row r="6" ht="14.1" customHeight="1" spans="1:13">
      <c r="A6" s="19"/>
      <c r="B6" s="19"/>
      <c r="C6" s="20" t="s">
        <v>37</v>
      </c>
      <c r="D6" s="19"/>
      <c r="E6" s="19"/>
      <c r="F6" s="19"/>
      <c r="G6" s="19"/>
      <c r="H6" s="21"/>
      <c r="I6" s="21"/>
      <c r="J6" s="19"/>
      <c r="K6" s="19"/>
      <c r="L6" s="19"/>
      <c r="M6" s="19"/>
    </row>
    <row r="7" ht="14.1" customHeight="1" spans="1:13">
      <c r="A7" s="22">
        <v>798</v>
      </c>
      <c r="B7" s="19"/>
      <c r="C7" s="19" t="s">
        <v>867</v>
      </c>
      <c r="D7" s="19" t="s">
        <v>39</v>
      </c>
      <c r="E7" s="19"/>
      <c r="F7" s="19"/>
      <c r="G7" s="19"/>
      <c r="H7" s="21"/>
      <c r="I7" s="23">
        <v>9531</v>
      </c>
      <c r="J7" s="24">
        <v>10956</v>
      </c>
      <c r="K7" s="24">
        <v>12983</v>
      </c>
      <c r="L7" s="24">
        <v>16067</v>
      </c>
      <c r="M7" s="24">
        <v>18477</v>
      </c>
    </row>
    <row r="8" ht="14.1" customHeight="1" spans="1:13">
      <c r="A8" s="19"/>
      <c r="B8" s="19"/>
      <c r="C8" s="19"/>
      <c r="D8" s="19"/>
      <c r="E8" s="19"/>
      <c r="F8" s="19"/>
      <c r="G8" s="19"/>
      <c r="H8" s="21"/>
      <c r="I8" s="21"/>
      <c r="J8" s="19"/>
      <c r="K8" s="19"/>
      <c r="L8" s="19"/>
      <c r="M8" s="19"/>
    </row>
    <row r="9" ht="14.1" customHeight="1" spans="1:13">
      <c r="A9" s="22">
        <v>799</v>
      </c>
      <c r="B9" s="19"/>
      <c r="C9" s="19" t="s">
        <v>868</v>
      </c>
      <c r="D9" s="19" t="s">
        <v>39</v>
      </c>
      <c r="E9" s="24">
        <v>3663</v>
      </c>
      <c r="F9" s="19"/>
      <c r="G9" s="19"/>
      <c r="H9" s="21"/>
      <c r="I9" s="21"/>
      <c r="J9" s="19"/>
      <c r="K9" s="19"/>
      <c r="L9" s="19"/>
      <c r="M9" s="19"/>
    </row>
    <row r="10" ht="14.1" customHeight="1" spans="1:13">
      <c r="A10" s="19"/>
      <c r="B10" s="19"/>
      <c r="C10" s="19"/>
      <c r="D10" s="19"/>
      <c r="E10" s="19"/>
      <c r="F10" s="19"/>
      <c r="G10" s="19"/>
      <c r="H10" s="21"/>
      <c r="I10" s="21"/>
      <c r="J10" s="19"/>
      <c r="K10" s="19"/>
      <c r="L10" s="19"/>
      <c r="M10" s="19"/>
    </row>
    <row r="11" ht="14.1" customHeight="1" spans="1:13">
      <c r="A11" s="22">
        <v>800</v>
      </c>
      <c r="B11" s="19"/>
      <c r="C11" s="19" t="s">
        <v>869</v>
      </c>
      <c r="D11" s="19" t="s">
        <v>39</v>
      </c>
      <c r="E11" s="19"/>
      <c r="F11" s="24">
        <v>4375</v>
      </c>
      <c r="G11" s="19"/>
      <c r="H11" s="21"/>
      <c r="I11" s="21"/>
      <c r="J11" s="19"/>
      <c r="K11" s="19"/>
      <c r="L11" s="19"/>
      <c r="M11" s="19"/>
    </row>
    <row r="12" ht="14.1" customHeight="1" spans="1:13">
      <c r="A12" s="19"/>
      <c r="B12" s="19"/>
      <c r="C12" s="19"/>
      <c r="D12" s="19"/>
      <c r="E12" s="19"/>
      <c r="F12" s="19"/>
      <c r="G12" s="19"/>
      <c r="H12" s="21"/>
      <c r="I12" s="21"/>
      <c r="J12" s="19"/>
      <c r="K12" s="19"/>
      <c r="L12" s="19"/>
      <c r="M12" s="19"/>
    </row>
    <row r="13" ht="14.1" customHeight="1" spans="1:13">
      <c r="A13" s="22">
        <v>801</v>
      </c>
      <c r="B13" s="19"/>
      <c r="C13" s="19" t="s">
        <v>870</v>
      </c>
      <c r="D13" s="19" t="s">
        <v>39</v>
      </c>
      <c r="E13" s="24">
        <v>3875</v>
      </c>
      <c r="F13" s="24">
        <v>4075</v>
      </c>
      <c r="G13" s="19"/>
      <c r="H13" s="21"/>
      <c r="I13" s="21"/>
      <c r="J13" s="19"/>
      <c r="K13" s="19"/>
      <c r="L13" s="19"/>
      <c r="M13" s="19"/>
    </row>
    <row r="14" ht="14.1" customHeight="1" spans="1:13">
      <c r="A14" s="19"/>
      <c r="B14" s="19"/>
      <c r="C14" s="19"/>
      <c r="D14" s="19"/>
      <c r="E14" s="19"/>
      <c r="F14" s="19"/>
      <c r="G14" s="19"/>
      <c r="H14" s="21"/>
      <c r="I14" s="21"/>
      <c r="J14" s="19"/>
      <c r="K14" s="19"/>
      <c r="L14" s="19"/>
      <c r="M14" s="19"/>
    </row>
    <row r="15" ht="14.1" customHeight="1" spans="1:13">
      <c r="A15" s="22">
        <v>802</v>
      </c>
      <c r="B15" s="19"/>
      <c r="C15" s="19" t="s">
        <v>871</v>
      </c>
      <c r="D15" s="19" t="s">
        <v>39</v>
      </c>
      <c r="E15" s="19"/>
      <c r="F15" s="24">
        <v>4058</v>
      </c>
      <c r="G15" s="24">
        <v>4675</v>
      </c>
      <c r="H15" s="21"/>
      <c r="I15" s="21"/>
      <c r="J15" s="19"/>
      <c r="K15" s="19"/>
      <c r="L15" s="19"/>
      <c r="M15" s="19"/>
    </row>
    <row r="16" ht="14.1" customHeight="1" spans="1:13">
      <c r="A16" s="19"/>
      <c r="B16" s="19"/>
      <c r="C16" s="19"/>
      <c r="D16" s="19"/>
      <c r="E16" s="19"/>
      <c r="F16" s="19"/>
      <c r="G16" s="19"/>
      <c r="H16" s="21"/>
      <c r="I16" s="21"/>
      <c r="J16" s="19"/>
      <c r="K16" s="19"/>
      <c r="L16" s="19"/>
      <c r="M16" s="19"/>
    </row>
    <row r="17" ht="14.1" customHeight="1" spans="1:13">
      <c r="A17" s="22">
        <v>803</v>
      </c>
      <c r="B17" s="19"/>
      <c r="C17" s="19" t="s">
        <v>872</v>
      </c>
      <c r="D17" s="19" t="s">
        <v>39</v>
      </c>
      <c r="E17" s="24">
        <v>4283</v>
      </c>
      <c r="F17" s="24">
        <v>4550</v>
      </c>
      <c r="G17" s="24">
        <v>5050</v>
      </c>
      <c r="H17" s="21"/>
      <c r="I17" s="21"/>
      <c r="J17" s="19"/>
      <c r="K17" s="19"/>
      <c r="L17" s="19"/>
      <c r="M17" s="19"/>
    </row>
    <row r="18" ht="14.1" customHeight="1" spans="1:13">
      <c r="A18" s="19"/>
      <c r="B18" s="19"/>
      <c r="C18" s="19"/>
      <c r="D18" s="19"/>
      <c r="E18" s="19"/>
      <c r="F18" s="19"/>
      <c r="G18" s="19"/>
      <c r="H18" s="21"/>
      <c r="I18" s="21"/>
      <c r="J18" s="19"/>
      <c r="K18" s="19"/>
      <c r="L18" s="19"/>
      <c r="M18" s="19"/>
    </row>
    <row r="19" ht="14.1" customHeight="1" spans="1:13">
      <c r="A19" s="22">
        <v>804</v>
      </c>
      <c r="B19" s="19"/>
      <c r="C19" s="19" t="s">
        <v>873</v>
      </c>
      <c r="D19" s="19" t="s">
        <v>39</v>
      </c>
      <c r="E19" s="19"/>
      <c r="F19" s="19"/>
      <c r="G19" s="19"/>
      <c r="H19" s="21"/>
      <c r="I19" s="21"/>
      <c r="J19" s="19"/>
      <c r="K19" s="24">
        <v>7500</v>
      </c>
      <c r="L19" s="24">
        <v>8891</v>
      </c>
      <c r="M19" s="19"/>
    </row>
    <row r="20" ht="14.1" customHeight="1" spans="1:13">
      <c r="A20" s="19"/>
      <c r="B20" s="19"/>
      <c r="C20" s="19"/>
      <c r="D20" s="19"/>
      <c r="E20" s="19"/>
      <c r="F20" s="19"/>
      <c r="G20" s="19"/>
      <c r="H20" s="21"/>
      <c r="I20" s="21"/>
      <c r="J20" s="19"/>
      <c r="K20" s="19"/>
      <c r="L20" s="19"/>
      <c r="M20" s="19"/>
    </row>
    <row r="21" ht="14.1" customHeight="1" spans="1:13">
      <c r="A21" s="22">
        <v>805</v>
      </c>
      <c r="B21" s="19"/>
      <c r="C21" s="19" t="s">
        <v>874</v>
      </c>
      <c r="D21" s="19" t="s">
        <v>39</v>
      </c>
      <c r="E21" s="19"/>
      <c r="F21" s="19"/>
      <c r="G21" s="19"/>
      <c r="H21" s="21"/>
      <c r="I21" s="21"/>
      <c r="J21" s="19"/>
      <c r="K21" s="19"/>
      <c r="L21" s="19"/>
      <c r="M21" s="24">
        <v>15684</v>
      </c>
    </row>
    <row r="22" ht="14.1" customHeight="1" spans="1:13">
      <c r="A22" s="19"/>
      <c r="B22" s="19"/>
      <c r="C22" s="19"/>
      <c r="D22" s="19"/>
      <c r="E22" s="19"/>
      <c r="F22" s="19"/>
      <c r="G22" s="19"/>
      <c r="H22" s="21"/>
      <c r="I22" s="21"/>
      <c r="J22" s="19"/>
      <c r="K22" s="19"/>
      <c r="L22" s="19"/>
      <c r="M22" s="19"/>
    </row>
    <row r="23" ht="14.1" customHeight="1" spans="1:13">
      <c r="A23" s="22">
        <v>806</v>
      </c>
      <c r="B23" s="19"/>
      <c r="C23" s="19" t="s">
        <v>875</v>
      </c>
      <c r="D23" s="19" t="s">
        <v>39</v>
      </c>
      <c r="E23" s="24">
        <v>2800</v>
      </c>
      <c r="F23" s="24">
        <v>3138</v>
      </c>
      <c r="G23" s="24">
        <v>3463</v>
      </c>
      <c r="H23" s="23">
        <v>5800</v>
      </c>
      <c r="I23" s="23">
        <v>6900</v>
      </c>
      <c r="J23" s="24">
        <v>7875</v>
      </c>
      <c r="K23" s="24">
        <v>8550</v>
      </c>
      <c r="L23" s="19"/>
      <c r="M23" s="19"/>
    </row>
    <row r="24" ht="14.1" customHeight="1" spans="1:13">
      <c r="A24" s="19"/>
      <c r="B24" s="19"/>
      <c r="C24" s="19"/>
      <c r="D24" s="19"/>
      <c r="E24" s="19"/>
      <c r="F24" s="19"/>
      <c r="G24" s="19"/>
      <c r="H24" s="21"/>
      <c r="I24" s="21"/>
      <c r="J24" s="19"/>
      <c r="K24" s="19"/>
      <c r="L24" s="19"/>
      <c r="M24" s="19"/>
    </row>
    <row r="25" ht="14.1" customHeight="1" spans="1:13">
      <c r="A25" s="22">
        <v>807</v>
      </c>
      <c r="B25" s="19"/>
      <c r="C25" s="19" t="s">
        <v>876</v>
      </c>
      <c r="D25" s="19" t="s">
        <v>39</v>
      </c>
      <c r="E25" s="19"/>
      <c r="F25" s="24">
        <v>4613</v>
      </c>
      <c r="G25" s="24">
        <v>4963</v>
      </c>
      <c r="H25" s="23">
        <v>6495</v>
      </c>
      <c r="I25" s="23">
        <v>8369</v>
      </c>
      <c r="J25" s="24">
        <v>9443</v>
      </c>
      <c r="K25" s="24">
        <v>12150</v>
      </c>
      <c r="L25" s="24">
        <v>13642</v>
      </c>
      <c r="M25" s="24">
        <v>15688</v>
      </c>
    </row>
    <row r="26" ht="14.1" customHeight="1" spans="1:13">
      <c r="A26" s="19"/>
      <c r="B26" s="19"/>
      <c r="C26" s="19"/>
      <c r="D26" s="19"/>
      <c r="E26" s="19"/>
      <c r="F26" s="19"/>
      <c r="G26" s="19"/>
      <c r="H26" s="21"/>
      <c r="I26" s="21"/>
      <c r="J26" s="19"/>
      <c r="K26" s="19"/>
      <c r="L26" s="19"/>
      <c r="M26" s="19"/>
    </row>
    <row r="27" ht="14.1" customHeight="1" spans="1:13">
      <c r="A27" s="22">
        <v>808</v>
      </c>
      <c r="B27" s="19"/>
      <c r="C27" s="19" t="s">
        <v>877</v>
      </c>
      <c r="D27" s="19" t="s">
        <v>39</v>
      </c>
      <c r="E27" s="19"/>
      <c r="F27" s="19"/>
      <c r="G27" s="19"/>
      <c r="H27" s="23">
        <v>7738</v>
      </c>
      <c r="I27" s="23">
        <v>9269</v>
      </c>
      <c r="J27" s="24">
        <v>11281</v>
      </c>
      <c r="K27" s="19"/>
      <c r="L27" s="24">
        <v>15916</v>
      </c>
      <c r="M27" s="19"/>
    </row>
    <row r="28" ht="14.1" customHeight="1" spans="1:13">
      <c r="A28" s="19"/>
      <c r="B28" s="19"/>
      <c r="C28" s="19"/>
      <c r="D28" s="19"/>
      <c r="E28" s="19"/>
      <c r="F28" s="19"/>
      <c r="G28" s="19"/>
      <c r="H28" s="21"/>
      <c r="I28" s="21"/>
      <c r="J28" s="19"/>
      <c r="K28" s="19"/>
      <c r="L28" s="19"/>
      <c r="M28" s="19"/>
    </row>
    <row r="29" ht="14.1" customHeight="1" spans="1:13">
      <c r="A29" s="22">
        <v>809</v>
      </c>
      <c r="B29" s="19"/>
      <c r="C29" s="19" t="s">
        <v>878</v>
      </c>
      <c r="D29" s="19" t="s">
        <v>39</v>
      </c>
      <c r="E29" s="19"/>
      <c r="F29" s="19"/>
      <c r="G29" s="19"/>
      <c r="H29" s="23">
        <v>7322</v>
      </c>
      <c r="I29" s="23">
        <v>8625</v>
      </c>
      <c r="J29" s="24">
        <v>10403</v>
      </c>
      <c r="K29" s="24">
        <v>12483</v>
      </c>
      <c r="L29" s="24">
        <v>13905</v>
      </c>
      <c r="M29" s="24">
        <v>15991</v>
      </c>
    </row>
    <row r="30" ht="14.1" customHeight="1" spans="1:13">
      <c r="A30" s="19"/>
      <c r="B30" s="19"/>
      <c r="C30" s="19"/>
      <c r="D30" s="19"/>
      <c r="E30" s="19"/>
      <c r="F30" s="19"/>
      <c r="G30" s="19"/>
      <c r="H30" s="21"/>
      <c r="I30" s="21"/>
      <c r="J30" s="19"/>
      <c r="K30" s="19"/>
      <c r="L30" s="19"/>
      <c r="M30" s="19"/>
    </row>
    <row r="31" ht="14.1" customHeight="1" spans="1:13">
      <c r="A31" s="22">
        <v>810</v>
      </c>
      <c r="B31" s="19"/>
      <c r="C31" s="19" t="s">
        <v>879</v>
      </c>
      <c r="D31" s="19" t="s">
        <v>39</v>
      </c>
      <c r="E31" s="19"/>
      <c r="F31" s="19"/>
      <c r="G31" s="19"/>
      <c r="H31" s="23">
        <v>6990</v>
      </c>
      <c r="I31" s="23">
        <v>8205</v>
      </c>
      <c r="J31" s="24">
        <v>9745</v>
      </c>
      <c r="K31" s="24">
        <v>9745</v>
      </c>
      <c r="L31" s="24">
        <v>12783</v>
      </c>
      <c r="M31" s="19"/>
    </row>
    <row r="32" ht="14.1" customHeight="1" spans="1:13">
      <c r="A32" s="19"/>
      <c r="B32" s="19"/>
      <c r="C32" s="19"/>
      <c r="D32" s="19"/>
      <c r="E32" s="19"/>
      <c r="F32" s="19"/>
      <c r="G32" s="19"/>
      <c r="H32" s="21"/>
      <c r="I32" s="21"/>
      <c r="J32" s="19"/>
      <c r="K32" s="19"/>
      <c r="L32" s="19"/>
      <c r="M32" s="19"/>
    </row>
    <row r="33" ht="14.1" customHeight="1" spans="1:13">
      <c r="A33" s="22">
        <v>811</v>
      </c>
      <c r="B33" s="19"/>
      <c r="C33" s="19" t="s">
        <v>880</v>
      </c>
      <c r="D33" s="19" t="s">
        <v>39</v>
      </c>
      <c r="E33" s="19"/>
      <c r="F33" s="19"/>
      <c r="G33" s="19"/>
      <c r="H33" s="23">
        <v>7744</v>
      </c>
      <c r="I33" s="23">
        <v>9513</v>
      </c>
      <c r="J33" s="24">
        <v>11500</v>
      </c>
      <c r="K33" s="24">
        <v>13750</v>
      </c>
      <c r="L33" s="24">
        <v>15341</v>
      </c>
      <c r="M33" s="24">
        <v>17642</v>
      </c>
    </row>
    <row r="34" ht="14.1" customHeight="1" spans="1:13">
      <c r="A34" s="19"/>
      <c r="B34" s="19"/>
      <c r="C34" s="19"/>
      <c r="D34" s="19"/>
      <c r="E34" s="19"/>
      <c r="F34" s="19"/>
      <c r="G34" s="19"/>
      <c r="H34" s="21"/>
      <c r="I34" s="21"/>
      <c r="J34" s="19"/>
      <c r="K34" s="19"/>
      <c r="L34" s="19"/>
      <c r="M34" s="19"/>
    </row>
    <row r="35" ht="14.1" customHeight="1" spans="1:13">
      <c r="A35" s="22">
        <v>812</v>
      </c>
      <c r="B35" s="19"/>
      <c r="C35" s="19" t="s">
        <v>881</v>
      </c>
      <c r="D35" s="19" t="s">
        <v>39</v>
      </c>
      <c r="E35" s="19"/>
      <c r="F35" s="19"/>
      <c r="G35" s="19"/>
      <c r="H35" s="21"/>
      <c r="I35" s="21"/>
      <c r="J35" s="24">
        <v>15825</v>
      </c>
      <c r="K35" s="24">
        <v>18075</v>
      </c>
      <c r="L35" s="24">
        <v>21225</v>
      </c>
      <c r="M35" s="19"/>
    </row>
    <row r="36" ht="14.1" customHeight="1" spans="1:13">
      <c r="A36" s="19"/>
      <c r="B36" s="19"/>
      <c r="C36" s="19"/>
      <c r="D36" s="19"/>
      <c r="E36" s="19"/>
      <c r="F36" s="19"/>
      <c r="G36" s="19"/>
      <c r="H36" s="21"/>
      <c r="I36" s="21"/>
      <c r="J36" s="19"/>
      <c r="K36" s="19"/>
      <c r="L36" s="19"/>
      <c r="M36" s="19"/>
    </row>
    <row r="37" ht="14.1" customHeight="1" spans="1:13">
      <c r="A37" s="19"/>
      <c r="B37" s="19"/>
      <c r="C37" s="20" t="s">
        <v>204</v>
      </c>
      <c r="D37" s="19"/>
      <c r="E37" s="19"/>
      <c r="F37" s="19"/>
      <c r="G37" s="19"/>
      <c r="H37" s="21"/>
      <c r="I37" s="21"/>
      <c r="J37" s="19"/>
      <c r="K37" s="19"/>
      <c r="L37" s="19"/>
      <c r="M37" s="19"/>
    </row>
    <row r="38" ht="14.1" customHeight="1" spans="1:13">
      <c r="A38" s="22">
        <v>813</v>
      </c>
      <c r="B38" s="19"/>
      <c r="C38" s="19" t="s">
        <v>882</v>
      </c>
      <c r="D38" s="19" t="s">
        <v>39</v>
      </c>
      <c r="E38" s="24">
        <v>3250</v>
      </c>
      <c r="F38" s="24">
        <v>3500</v>
      </c>
      <c r="G38" s="24">
        <v>3875</v>
      </c>
      <c r="H38" s="23">
        <v>4325</v>
      </c>
      <c r="I38" s="23">
        <v>4692</v>
      </c>
      <c r="J38" s="24">
        <v>5331</v>
      </c>
      <c r="K38" s="24">
        <v>6180</v>
      </c>
      <c r="L38" s="24">
        <v>8646</v>
      </c>
      <c r="M38" s="24">
        <v>9943</v>
      </c>
    </row>
    <row r="39" ht="14.1" customHeight="1" spans="1:13">
      <c r="A39" s="19"/>
      <c r="B39" s="19"/>
      <c r="C39" s="19"/>
      <c r="D39" s="19"/>
      <c r="E39" s="19"/>
      <c r="F39" s="19"/>
      <c r="G39" s="19"/>
      <c r="H39" s="21"/>
      <c r="I39" s="21"/>
      <c r="J39" s="19"/>
      <c r="K39" s="19"/>
      <c r="L39" s="19"/>
      <c r="M39" s="19"/>
    </row>
    <row r="40" ht="14.1" customHeight="1" spans="1:13">
      <c r="A40" s="22">
        <v>814</v>
      </c>
      <c r="B40" s="19"/>
      <c r="C40" s="19" t="s">
        <v>883</v>
      </c>
      <c r="D40" s="19" t="s">
        <v>39</v>
      </c>
      <c r="E40" s="24">
        <v>2750</v>
      </c>
      <c r="F40" s="24">
        <v>3025</v>
      </c>
      <c r="G40" s="24">
        <v>3250</v>
      </c>
      <c r="H40" s="23">
        <v>4930</v>
      </c>
      <c r="I40" s="23">
        <v>6794</v>
      </c>
      <c r="J40" s="24">
        <v>8169</v>
      </c>
      <c r="K40" s="24">
        <v>9769</v>
      </c>
      <c r="L40" s="24">
        <v>12246</v>
      </c>
      <c r="M40" s="24">
        <v>14083</v>
      </c>
    </row>
    <row r="41" ht="14.1" customHeight="1" spans="1:13">
      <c r="A41" s="19"/>
      <c r="B41" s="19"/>
      <c r="C41" s="19"/>
      <c r="D41" s="19"/>
      <c r="E41" s="19"/>
      <c r="F41" s="19"/>
      <c r="G41" s="19"/>
      <c r="H41" s="21"/>
      <c r="I41" s="21"/>
      <c r="J41" s="19"/>
      <c r="K41" s="19"/>
      <c r="L41" s="19"/>
      <c r="M41" s="19"/>
    </row>
    <row r="42" ht="14.1" customHeight="1" spans="1:13">
      <c r="A42" s="22">
        <v>815</v>
      </c>
      <c r="B42" s="19"/>
      <c r="C42" s="19" t="s">
        <v>884</v>
      </c>
      <c r="D42" s="19" t="s">
        <v>39</v>
      </c>
      <c r="E42" s="24">
        <v>3463</v>
      </c>
      <c r="F42" s="24">
        <v>3738</v>
      </c>
      <c r="G42" s="24">
        <v>3988</v>
      </c>
      <c r="H42" s="23">
        <v>5268</v>
      </c>
      <c r="I42" s="23">
        <v>7115</v>
      </c>
      <c r="J42" s="24">
        <v>9135</v>
      </c>
      <c r="K42" s="24">
        <v>10275</v>
      </c>
      <c r="L42" s="24">
        <v>12732</v>
      </c>
      <c r="M42" s="24">
        <v>14642</v>
      </c>
    </row>
    <row r="43" ht="14.1" customHeight="1" spans="1:13">
      <c r="A43" s="19"/>
      <c r="B43" s="19"/>
      <c r="C43" s="19"/>
      <c r="D43" s="19"/>
      <c r="E43" s="19"/>
      <c r="F43" s="19"/>
      <c r="G43" s="19"/>
      <c r="H43" s="21"/>
      <c r="I43" s="21"/>
      <c r="J43" s="19"/>
      <c r="K43" s="19"/>
      <c r="L43" s="19"/>
      <c r="M43" s="19"/>
    </row>
    <row r="44" ht="14.1" customHeight="1" spans="1:13">
      <c r="A44" s="22">
        <v>816</v>
      </c>
      <c r="B44" s="19"/>
      <c r="C44" s="19" t="s">
        <v>885</v>
      </c>
      <c r="D44" s="19" t="s">
        <v>39</v>
      </c>
      <c r="E44" s="24">
        <v>3500</v>
      </c>
      <c r="F44" s="24">
        <v>3775</v>
      </c>
      <c r="G44" s="24">
        <v>4025</v>
      </c>
      <c r="H44" s="23">
        <v>5800</v>
      </c>
      <c r="I44" s="23">
        <v>7740</v>
      </c>
      <c r="J44" s="24">
        <v>9810</v>
      </c>
      <c r="K44" s="24">
        <v>11021</v>
      </c>
      <c r="L44" s="24">
        <v>13221</v>
      </c>
      <c r="M44" s="24">
        <v>15204</v>
      </c>
    </row>
    <row r="45" ht="14.1" customHeight="1" spans="1:13">
      <c r="A45" s="19"/>
      <c r="B45" s="19"/>
      <c r="C45" s="19"/>
      <c r="D45" s="19"/>
      <c r="E45" s="19"/>
      <c r="F45" s="19"/>
      <c r="G45" s="19"/>
      <c r="H45" s="21"/>
      <c r="I45" s="21"/>
      <c r="J45" s="19"/>
      <c r="K45" s="19"/>
      <c r="L45" s="19"/>
      <c r="M45" s="19"/>
    </row>
    <row r="46" ht="14.1" customHeight="1" spans="1:13">
      <c r="A46" s="19"/>
      <c r="B46" s="19"/>
      <c r="C46" s="20" t="s">
        <v>217</v>
      </c>
      <c r="D46" s="19"/>
      <c r="E46" s="19"/>
      <c r="F46" s="19"/>
      <c r="G46" s="19"/>
      <c r="H46" s="21"/>
      <c r="I46" s="21"/>
      <c r="J46" s="19"/>
      <c r="K46" s="19"/>
      <c r="L46" s="19"/>
      <c r="M46" s="19"/>
    </row>
    <row r="47" ht="14.1" customHeight="1" spans="1:13">
      <c r="A47" s="22">
        <v>817</v>
      </c>
      <c r="B47" s="19"/>
      <c r="C47" s="19" t="s">
        <v>886</v>
      </c>
      <c r="D47" s="19" t="s">
        <v>39</v>
      </c>
      <c r="E47" s="19"/>
      <c r="F47" s="19"/>
      <c r="G47" s="19"/>
      <c r="H47" s="21"/>
      <c r="I47" s="21"/>
      <c r="J47" s="24">
        <v>8206</v>
      </c>
      <c r="K47" s="24">
        <v>10019</v>
      </c>
      <c r="L47" s="24">
        <v>11525</v>
      </c>
      <c r="M47" s="19"/>
    </row>
    <row r="48" ht="14.1" customHeight="1" spans="1:13">
      <c r="A48" s="19"/>
      <c r="B48" s="19"/>
      <c r="C48" s="19"/>
      <c r="D48" s="19"/>
      <c r="E48" s="19"/>
      <c r="F48" s="19"/>
      <c r="G48" s="19"/>
      <c r="H48" s="21"/>
      <c r="I48" s="21"/>
      <c r="J48" s="19"/>
      <c r="K48" s="19"/>
      <c r="L48" s="19"/>
      <c r="M48" s="19"/>
    </row>
    <row r="49" ht="14.1" customHeight="1" spans="1:13">
      <c r="A49" s="22">
        <v>818</v>
      </c>
      <c r="B49" s="19"/>
      <c r="C49" s="19" t="s">
        <v>887</v>
      </c>
      <c r="D49" s="19" t="s">
        <v>39</v>
      </c>
      <c r="E49" s="19"/>
      <c r="F49" s="19"/>
      <c r="G49" s="19"/>
      <c r="H49" s="21"/>
      <c r="I49" s="21"/>
      <c r="J49" s="24">
        <v>7983</v>
      </c>
      <c r="K49" s="24">
        <v>8847</v>
      </c>
      <c r="L49" s="19"/>
      <c r="M49" s="19"/>
    </row>
    <row r="50" ht="14.1" customHeight="1" spans="1:13">
      <c r="A50" s="19"/>
      <c r="B50" s="19"/>
      <c r="C50" s="19"/>
      <c r="D50" s="19"/>
      <c r="E50" s="19"/>
      <c r="F50" s="19"/>
      <c r="G50" s="19"/>
      <c r="H50" s="21"/>
      <c r="I50" s="21"/>
      <c r="J50" s="19"/>
      <c r="K50" s="19"/>
      <c r="L50" s="19"/>
      <c r="M50" s="19"/>
    </row>
    <row r="51" ht="14.1" customHeight="1" spans="1:13">
      <c r="A51" s="22">
        <v>819</v>
      </c>
      <c r="B51" s="19"/>
      <c r="C51" s="19" t="s">
        <v>888</v>
      </c>
      <c r="D51" s="19" t="s">
        <v>39</v>
      </c>
      <c r="E51" s="19"/>
      <c r="F51" s="24">
        <v>5142</v>
      </c>
      <c r="G51" s="24">
        <v>6106</v>
      </c>
      <c r="H51" s="23">
        <v>6125</v>
      </c>
      <c r="I51" s="23">
        <v>7506</v>
      </c>
      <c r="J51" s="24">
        <v>8502</v>
      </c>
      <c r="K51" s="24">
        <v>10853</v>
      </c>
      <c r="L51" s="24">
        <v>12175</v>
      </c>
      <c r="M51" s="24">
        <v>14001</v>
      </c>
    </row>
    <row r="52" ht="14.1" customHeight="1" spans="1:13">
      <c r="A52" s="19"/>
      <c r="B52" s="19"/>
      <c r="C52" s="19"/>
      <c r="D52" s="19"/>
      <c r="E52" s="19"/>
      <c r="F52" s="19"/>
      <c r="G52" s="19"/>
      <c r="H52" s="21"/>
      <c r="I52" s="21"/>
      <c r="J52" s="19"/>
      <c r="K52" s="19"/>
      <c r="L52" s="19"/>
      <c r="M52" s="19"/>
    </row>
    <row r="53" ht="14.1" customHeight="1" spans="1:13">
      <c r="A53" s="22">
        <v>820</v>
      </c>
      <c r="B53" s="19"/>
      <c r="C53" s="19" t="s">
        <v>889</v>
      </c>
      <c r="D53" s="19" t="s">
        <v>39</v>
      </c>
      <c r="E53" s="19"/>
      <c r="F53" s="19"/>
      <c r="G53" s="19"/>
      <c r="H53" s="23">
        <v>7243</v>
      </c>
      <c r="I53" s="23">
        <v>9011</v>
      </c>
      <c r="J53" s="24">
        <v>10696</v>
      </c>
      <c r="K53" s="24">
        <v>14165</v>
      </c>
      <c r="L53" s="24">
        <v>16257</v>
      </c>
      <c r="M53" s="19"/>
    </row>
    <row r="54" ht="14.1" customHeight="1" spans="1:13">
      <c r="A54" s="19"/>
      <c r="B54" s="19"/>
      <c r="C54" s="19"/>
      <c r="D54" s="19"/>
      <c r="E54" s="19"/>
      <c r="F54" s="19"/>
      <c r="G54" s="19"/>
      <c r="H54" s="21"/>
      <c r="I54" s="21"/>
      <c r="J54" s="19"/>
      <c r="K54" s="19"/>
      <c r="L54" s="19"/>
      <c r="M54" s="19"/>
    </row>
    <row r="55" ht="14.1" customHeight="1" spans="1:13">
      <c r="A55" s="22">
        <v>821</v>
      </c>
      <c r="B55" s="19"/>
      <c r="C55" s="19" t="s">
        <v>890</v>
      </c>
      <c r="D55" s="19" t="s">
        <v>39</v>
      </c>
      <c r="E55" s="19"/>
      <c r="F55" s="24">
        <v>3875</v>
      </c>
      <c r="G55" s="19"/>
      <c r="H55" s="21"/>
      <c r="I55" s="21"/>
      <c r="J55" s="19"/>
      <c r="K55" s="19"/>
      <c r="L55" s="19"/>
      <c r="M55" s="19"/>
    </row>
    <row r="56" ht="14.1" customHeight="1" spans="1:13">
      <c r="A56" s="19"/>
      <c r="B56" s="19"/>
      <c r="C56" s="19"/>
      <c r="D56" s="19"/>
      <c r="E56" s="19"/>
      <c r="F56" s="19"/>
      <c r="G56" s="19"/>
      <c r="H56" s="21"/>
      <c r="I56" s="21"/>
      <c r="J56" s="19"/>
      <c r="K56" s="19"/>
      <c r="L56" s="19"/>
      <c r="M56" s="19"/>
    </row>
    <row r="57" ht="14.1" customHeight="1" spans="1:13">
      <c r="A57" s="22">
        <v>822</v>
      </c>
      <c r="B57" s="19"/>
      <c r="C57" s="19" t="s">
        <v>891</v>
      </c>
      <c r="D57" s="19" t="s">
        <v>39</v>
      </c>
      <c r="E57" s="19"/>
      <c r="F57" s="24">
        <v>4633</v>
      </c>
      <c r="G57" s="24">
        <v>4942</v>
      </c>
      <c r="H57" s="23">
        <v>6577</v>
      </c>
      <c r="I57" s="23">
        <v>8289</v>
      </c>
      <c r="J57" s="24">
        <v>9667</v>
      </c>
      <c r="K57" s="24">
        <v>10665</v>
      </c>
      <c r="L57" s="24">
        <v>14597</v>
      </c>
      <c r="M57" s="19"/>
    </row>
    <row r="58" ht="14.1" customHeight="1" spans="1:13">
      <c r="A58" s="19"/>
      <c r="B58" s="19"/>
      <c r="C58" s="19"/>
      <c r="D58" s="19"/>
      <c r="E58" s="19"/>
      <c r="F58" s="19"/>
      <c r="G58" s="19"/>
      <c r="H58" s="21"/>
      <c r="I58" s="21"/>
      <c r="J58" s="19"/>
      <c r="K58" s="19"/>
      <c r="L58" s="19"/>
      <c r="M58" s="19"/>
    </row>
    <row r="59" ht="14.1" customHeight="1" spans="1:13">
      <c r="A59" s="22">
        <v>823</v>
      </c>
      <c r="B59" s="19"/>
      <c r="C59" s="19" t="s">
        <v>892</v>
      </c>
      <c r="D59" s="19" t="s">
        <v>39</v>
      </c>
      <c r="E59" s="19"/>
      <c r="F59" s="24">
        <v>4892</v>
      </c>
      <c r="G59" s="24">
        <v>5258</v>
      </c>
      <c r="H59" s="23">
        <v>6960</v>
      </c>
      <c r="I59" s="23">
        <v>8706</v>
      </c>
      <c r="J59" s="24">
        <v>10181</v>
      </c>
      <c r="K59" s="24">
        <v>11650</v>
      </c>
      <c r="L59" s="24">
        <v>15380</v>
      </c>
      <c r="M59" s="24">
        <v>17687</v>
      </c>
    </row>
    <row r="60" ht="14.1" customHeight="1" spans="1:13">
      <c r="A60" s="19"/>
      <c r="B60" s="19"/>
      <c r="C60" s="19"/>
      <c r="D60" s="19"/>
      <c r="E60" s="19"/>
      <c r="F60" s="19"/>
      <c r="G60" s="19"/>
      <c r="H60" s="21"/>
      <c r="I60" s="21"/>
      <c r="J60" s="19"/>
      <c r="K60" s="19"/>
      <c r="L60" s="19"/>
      <c r="M60" s="19"/>
    </row>
    <row r="61" ht="14.1" customHeight="1" spans="1:13">
      <c r="A61" s="22">
        <v>824</v>
      </c>
      <c r="B61" s="19"/>
      <c r="C61" s="19" t="s">
        <v>893</v>
      </c>
      <c r="D61" s="19" t="s">
        <v>39</v>
      </c>
      <c r="E61" s="19"/>
      <c r="F61" s="24">
        <v>3067</v>
      </c>
      <c r="G61" s="24">
        <v>3342</v>
      </c>
      <c r="H61" s="23">
        <v>4117</v>
      </c>
      <c r="I61" s="23">
        <v>4725</v>
      </c>
      <c r="J61" s="24">
        <v>5233</v>
      </c>
      <c r="K61" s="24">
        <v>6108</v>
      </c>
      <c r="L61" s="24">
        <v>7450</v>
      </c>
      <c r="M61" s="24">
        <v>8568</v>
      </c>
    </row>
    <row r="62" ht="14.1" customHeight="1" spans="1:13">
      <c r="A62" s="19"/>
      <c r="B62" s="19"/>
      <c r="C62" s="19"/>
      <c r="D62" s="19"/>
      <c r="E62" s="19"/>
      <c r="F62" s="19"/>
      <c r="G62" s="19"/>
      <c r="H62" s="21"/>
      <c r="I62" s="21"/>
      <c r="J62" s="19"/>
      <c r="K62" s="19"/>
      <c r="L62" s="19"/>
      <c r="M62" s="19"/>
    </row>
    <row r="63" ht="14.1" customHeight="1" spans="1:13">
      <c r="A63" s="19"/>
      <c r="B63" s="19"/>
      <c r="C63" s="20" t="s">
        <v>642</v>
      </c>
      <c r="D63" s="19"/>
      <c r="E63" s="19"/>
      <c r="F63" s="19"/>
      <c r="G63" s="19"/>
      <c r="H63" s="21"/>
      <c r="I63" s="21"/>
      <c r="J63" s="19"/>
      <c r="K63" s="19"/>
      <c r="L63" s="19"/>
      <c r="M63" s="19"/>
    </row>
    <row r="64" ht="14.1" customHeight="1" spans="1:13">
      <c r="A64" s="22">
        <v>825</v>
      </c>
      <c r="B64" s="19"/>
      <c r="C64" s="19" t="s">
        <v>894</v>
      </c>
      <c r="D64" s="19" t="s">
        <v>39</v>
      </c>
      <c r="E64" s="19"/>
      <c r="F64" s="19"/>
      <c r="G64" s="19"/>
      <c r="H64" s="21"/>
      <c r="I64" s="21"/>
      <c r="J64" s="19"/>
      <c r="K64" s="24">
        <v>7454</v>
      </c>
      <c r="L64" s="24">
        <v>8792</v>
      </c>
      <c r="M64" s="24">
        <v>10111</v>
      </c>
    </row>
    <row r="65" ht="14.1" customHeight="1" spans="1:13">
      <c r="A65" s="19"/>
      <c r="B65" s="19"/>
      <c r="C65" s="19"/>
      <c r="D65" s="19"/>
      <c r="E65" s="19"/>
      <c r="F65" s="19"/>
      <c r="G65" s="19"/>
      <c r="H65" s="21"/>
      <c r="I65" s="21"/>
      <c r="J65" s="19"/>
      <c r="K65" s="19"/>
      <c r="L65" s="19"/>
      <c r="M65" s="19"/>
    </row>
    <row r="66" ht="14.1" customHeight="1" spans="1:13">
      <c r="A66" s="22">
        <v>826</v>
      </c>
      <c r="B66" s="19"/>
      <c r="C66" s="19" t="s">
        <v>895</v>
      </c>
      <c r="D66" s="19" t="s">
        <v>39</v>
      </c>
      <c r="E66" s="24">
        <v>3663</v>
      </c>
      <c r="F66" s="19"/>
      <c r="G66" s="19"/>
      <c r="H66" s="23">
        <v>6495</v>
      </c>
      <c r="I66" s="23">
        <v>7816</v>
      </c>
      <c r="J66" s="24">
        <v>9432</v>
      </c>
      <c r="K66" s="24">
        <v>11993</v>
      </c>
      <c r="L66" s="24" t="s">
        <v>896</v>
      </c>
      <c r="M66" s="24">
        <v>15781</v>
      </c>
    </row>
    <row r="67" ht="14.1" customHeight="1" spans="1:13">
      <c r="A67" s="19"/>
      <c r="B67" s="19"/>
      <c r="C67" s="19"/>
      <c r="D67" s="19"/>
      <c r="E67" s="19"/>
      <c r="F67" s="19"/>
      <c r="G67" s="19"/>
      <c r="H67" s="21"/>
      <c r="I67" s="21"/>
      <c r="J67" s="19"/>
      <c r="K67" s="19"/>
      <c r="L67" s="19"/>
      <c r="M67" s="19"/>
    </row>
    <row r="68" ht="14.1" customHeight="1" spans="1:13">
      <c r="A68" s="22">
        <v>827</v>
      </c>
      <c r="B68" s="19"/>
      <c r="C68" s="19" t="s">
        <v>897</v>
      </c>
      <c r="D68" s="19" t="s">
        <v>39</v>
      </c>
      <c r="E68" s="19"/>
      <c r="F68" s="19"/>
      <c r="G68" s="19"/>
      <c r="H68" s="23">
        <v>7738</v>
      </c>
      <c r="I68" s="23">
        <v>9269</v>
      </c>
      <c r="J68" s="24">
        <v>11281</v>
      </c>
      <c r="K68" s="19"/>
      <c r="L68" s="24">
        <v>15813</v>
      </c>
      <c r="M68" s="19"/>
    </row>
    <row r="69" ht="14.1" customHeight="1" spans="1:13">
      <c r="A69" s="19"/>
      <c r="B69" s="19"/>
      <c r="C69" s="19"/>
      <c r="D69" s="19"/>
      <c r="E69" s="19"/>
      <c r="F69" s="19"/>
      <c r="G69" s="19"/>
      <c r="H69" s="21"/>
      <c r="I69" s="21"/>
      <c r="J69" s="19"/>
      <c r="K69" s="19"/>
      <c r="L69" s="19"/>
      <c r="M69" s="19"/>
    </row>
    <row r="70" ht="14.1" customHeight="1" spans="1:13">
      <c r="A70" s="22">
        <v>828</v>
      </c>
      <c r="B70" s="19"/>
      <c r="C70" s="19" t="s">
        <v>898</v>
      </c>
      <c r="D70" s="19" t="s">
        <v>39</v>
      </c>
      <c r="E70" s="19"/>
      <c r="F70" s="24">
        <v>4613</v>
      </c>
      <c r="G70" s="24">
        <v>4963</v>
      </c>
      <c r="H70" s="21"/>
      <c r="I70" s="21"/>
      <c r="J70" s="19"/>
      <c r="K70" s="19"/>
      <c r="L70" s="19"/>
      <c r="M70" s="19"/>
    </row>
    <row r="71" ht="14.1" customHeight="1" spans="1:13">
      <c r="A71" s="19"/>
      <c r="B71" s="19"/>
      <c r="C71" s="19"/>
      <c r="D71" s="19"/>
      <c r="E71" s="19"/>
      <c r="F71" s="19"/>
      <c r="G71" s="19"/>
      <c r="H71" s="21"/>
      <c r="I71" s="21"/>
      <c r="J71" s="19"/>
      <c r="K71" s="19"/>
      <c r="L71" s="19"/>
      <c r="M71" s="19"/>
    </row>
    <row r="72" ht="14.1" customHeight="1" spans="1:13">
      <c r="A72" s="22">
        <v>829</v>
      </c>
      <c r="B72" s="19"/>
      <c r="C72" s="19" t="s">
        <v>899</v>
      </c>
      <c r="D72" s="19" t="s">
        <v>39</v>
      </c>
      <c r="E72" s="19"/>
      <c r="F72" s="24">
        <v>4925</v>
      </c>
      <c r="G72" s="24">
        <v>5338</v>
      </c>
      <c r="H72" s="21"/>
      <c r="I72" s="21"/>
      <c r="J72" s="19"/>
      <c r="K72" s="19"/>
      <c r="L72" s="19"/>
      <c r="M72" s="19"/>
    </row>
    <row r="73" ht="14.1" customHeight="1" spans="1:13">
      <c r="A73" s="19"/>
      <c r="B73" s="19"/>
      <c r="C73" s="19"/>
      <c r="D73" s="19"/>
      <c r="E73" s="19"/>
      <c r="F73" s="19"/>
      <c r="G73" s="19"/>
      <c r="H73" s="21"/>
      <c r="I73" s="21"/>
      <c r="J73" s="19"/>
      <c r="K73" s="19"/>
      <c r="L73" s="19"/>
      <c r="M73" s="19"/>
    </row>
    <row r="74" ht="14.1" customHeight="1" spans="1:13">
      <c r="A74" s="22">
        <v>830</v>
      </c>
      <c r="B74" s="19"/>
      <c r="C74" s="19" t="s">
        <v>900</v>
      </c>
      <c r="D74" s="19" t="s">
        <v>39</v>
      </c>
      <c r="E74" s="19"/>
      <c r="F74" s="19"/>
      <c r="G74" s="19"/>
      <c r="H74" s="21"/>
      <c r="I74" s="21"/>
      <c r="J74" s="19"/>
      <c r="K74" s="19"/>
      <c r="L74" s="19"/>
      <c r="M74" s="24">
        <v>24350</v>
      </c>
    </row>
    <row r="75" ht="14.1" customHeight="1" spans="1:13">
      <c r="A75" s="19"/>
      <c r="B75" s="19"/>
      <c r="C75" s="19"/>
      <c r="D75" s="19"/>
      <c r="E75" s="19"/>
      <c r="F75" s="19"/>
      <c r="G75" s="19"/>
      <c r="H75" s="21"/>
      <c r="I75" s="21"/>
      <c r="J75" s="19"/>
      <c r="K75" s="19"/>
      <c r="L75" s="19"/>
      <c r="M75" s="19"/>
    </row>
    <row r="76" ht="14.1" customHeight="1" spans="1:13">
      <c r="A76" s="22">
        <v>831</v>
      </c>
      <c r="B76" s="19"/>
      <c r="C76" s="19" t="s">
        <v>901</v>
      </c>
      <c r="D76" s="19" t="s">
        <v>39</v>
      </c>
      <c r="E76" s="19"/>
      <c r="F76" s="19"/>
      <c r="G76" s="19"/>
      <c r="H76" s="21"/>
      <c r="I76" s="21"/>
      <c r="J76" s="19"/>
      <c r="K76" s="19"/>
      <c r="L76" s="19"/>
      <c r="M76" s="24">
        <v>18700</v>
      </c>
    </row>
    <row r="77" ht="14.1" customHeight="1" spans="1:13">
      <c r="A77" s="19"/>
      <c r="B77" s="19"/>
      <c r="C77" s="19"/>
      <c r="D77" s="19"/>
      <c r="E77" s="19"/>
      <c r="F77" s="19"/>
      <c r="G77" s="19"/>
      <c r="H77" s="21"/>
      <c r="I77" s="21"/>
      <c r="J77" s="19"/>
      <c r="K77" s="19"/>
      <c r="L77" s="19"/>
      <c r="M77" s="19"/>
    </row>
    <row r="78" ht="14.1" customHeight="1" spans="1:13">
      <c r="A78" s="22">
        <v>832</v>
      </c>
      <c r="B78" s="19"/>
      <c r="C78" s="19" t="s">
        <v>902</v>
      </c>
      <c r="D78" s="19" t="s">
        <v>39</v>
      </c>
      <c r="E78" s="19"/>
      <c r="F78" s="19"/>
      <c r="G78" s="19"/>
      <c r="H78" s="23">
        <v>7322</v>
      </c>
      <c r="I78" s="23">
        <v>8625</v>
      </c>
      <c r="J78" s="24">
        <v>10403</v>
      </c>
      <c r="K78" s="24">
        <v>12483</v>
      </c>
      <c r="L78" s="24">
        <v>13913</v>
      </c>
      <c r="M78" s="19"/>
    </row>
    <row r="79" ht="14.1" customHeight="1" spans="1:13">
      <c r="A79" s="19"/>
      <c r="B79" s="19"/>
      <c r="C79" s="19"/>
      <c r="D79" s="19"/>
      <c r="E79" s="19"/>
      <c r="F79" s="19"/>
      <c r="G79" s="19"/>
      <c r="H79" s="21"/>
      <c r="I79" s="21"/>
      <c r="J79" s="19"/>
      <c r="K79" s="19"/>
      <c r="L79" s="19"/>
      <c r="M79" s="19"/>
    </row>
    <row r="80" ht="14.1" customHeight="1" spans="1:13">
      <c r="A80" s="22">
        <v>833</v>
      </c>
      <c r="B80" s="19"/>
      <c r="C80" s="19" t="s">
        <v>903</v>
      </c>
      <c r="D80" s="19" t="s">
        <v>39</v>
      </c>
      <c r="E80" s="19"/>
      <c r="F80" s="19"/>
      <c r="G80" s="19"/>
      <c r="H80" s="23">
        <v>6990</v>
      </c>
      <c r="I80" s="23">
        <v>8205</v>
      </c>
      <c r="J80" s="24">
        <v>9745</v>
      </c>
      <c r="K80" s="24">
        <v>12783</v>
      </c>
      <c r="L80" s="19"/>
      <c r="M80" s="19"/>
    </row>
    <row r="81" ht="14.1" customHeight="1" spans="1:13">
      <c r="A81" s="19"/>
      <c r="B81" s="19"/>
      <c r="C81" s="19"/>
      <c r="D81" s="19"/>
      <c r="E81" s="19"/>
      <c r="F81" s="19"/>
      <c r="G81" s="19"/>
      <c r="H81" s="21"/>
      <c r="I81" s="21"/>
      <c r="J81" s="19"/>
      <c r="K81" s="19"/>
      <c r="L81" s="19"/>
      <c r="M81" s="19"/>
    </row>
    <row r="82" ht="14.1" customHeight="1" spans="1:13">
      <c r="A82" s="22">
        <v>834</v>
      </c>
      <c r="B82" s="19"/>
      <c r="C82" s="19" t="s">
        <v>904</v>
      </c>
      <c r="D82" s="19" t="s">
        <v>39</v>
      </c>
      <c r="E82" s="19"/>
      <c r="F82" s="19"/>
      <c r="G82" s="19"/>
      <c r="H82" s="23">
        <v>7744</v>
      </c>
      <c r="I82" s="23">
        <v>9513</v>
      </c>
      <c r="J82" s="24">
        <v>11500</v>
      </c>
      <c r="K82" s="24">
        <v>13750</v>
      </c>
      <c r="L82" s="24">
        <v>15341</v>
      </c>
      <c r="M82" s="24">
        <v>17642</v>
      </c>
    </row>
    <row r="83" ht="14.1" customHeight="1" spans="1:13">
      <c r="A83" s="19"/>
      <c r="B83" s="19"/>
      <c r="C83" s="19"/>
      <c r="D83" s="19"/>
      <c r="E83" s="19"/>
      <c r="F83" s="19"/>
      <c r="G83" s="19"/>
      <c r="H83" s="21"/>
      <c r="I83" s="21"/>
      <c r="J83" s="19"/>
      <c r="K83" s="19"/>
      <c r="L83" s="19"/>
      <c r="M83" s="19"/>
    </row>
    <row r="84" ht="14.1" customHeight="1" spans="1:13">
      <c r="A84" s="22">
        <v>835</v>
      </c>
      <c r="B84" s="19"/>
      <c r="C84" s="19" t="s">
        <v>905</v>
      </c>
      <c r="D84" s="19" t="s">
        <v>39</v>
      </c>
      <c r="E84" s="24">
        <v>2800</v>
      </c>
      <c r="F84" s="24">
        <v>3138</v>
      </c>
      <c r="G84" s="24">
        <v>3463</v>
      </c>
      <c r="H84" s="23">
        <v>4475</v>
      </c>
      <c r="I84" s="23">
        <v>5217</v>
      </c>
      <c r="J84" s="24">
        <v>5908</v>
      </c>
      <c r="K84" s="24">
        <v>8500</v>
      </c>
      <c r="L84" s="19"/>
      <c r="M84" s="19"/>
    </row>
    <row r="85" ht="14.1" customHeight="1" spans="1:13">
      <c r="A85" s="19"/>
      <c r="B85" s="19"/>
      <c r="C85" s="19"/>
      <c r="D85" s="19"/>
      <c r="E85" s="19"/>
      <c r="F85" s="19"/>
      <c r="G85" s="19"/>
      <c r="H85" s="21"/>
      <c r="I85" s="21"/>
      <c r="J85" s="19"/>
      <c r="K85" s="19"/>
      <c r="L85" s="19"/>
      <c r="M85" s="19"/>
    </row>
    <row r="86" ht="14.1" customHeight="1" spans="1:13">
      <c r="A86" s="19"/>
      <c r="B86" s="19"/>
      <c r="C86" s="20" t="s">
        <v>530</v>
      </c>
      <c r="D86" s="19"/>
      <c r="E86" s="19"/>
      <c r="F86" s="19"/>
      <c r="G86" s="19"/>
      <c r="H86" s="21"/>
      <c r="I86" s="21"/>
      <c r="J86" s="19"/>
      <c r="K86" s="19"/>
      <c r="L86" s="19"/>
      <c r="M86" s="19"/>
    </row>
    <row r="87" ht="14.1" customHeight="1" spans="1:13">
      <c r="A87" s="22">
        <v>836</v>
      </c>
      <c r="B87" s="19"/>
      <c r="C87" s="19" t="s">
        <v>906</v>
      </c>
      <c r="D87" s="19" t="s">
        <v>39</v>
      </c>
      <c r="E87" s="24">
        <v>2025</v>
      </c>
      <c r="F87" s="24">
        <v>2308</v>
      </c>
      <c r="G87" s="24">
        <v>2763</v>
      </c>
      <c r="H87" s="21"/>
      <c r="I87" s="21"/>
      <c r="J87" s="19"/>
      <c r="K87" s="19"/>
      <c r="L87" s="19"/>
      <c r="M87" s="19"/>
    </row>
    <row r="88" ht="14.1" customHeight="1" spans="1:13">
      <c r="A88" s="19"/>
      <c r="B88" s="19"/>
      <c r="C88" s="19"/>
      <c r="D88" s="19"/>
      <c r="E88" s="19"/>
      <c r="F88" s="19"/>
      <c r="G88" s="19"/>
      <c r="H88" s="21"/>
      <c r="I88" s="21"/>
      <c r="J88" s="19"/>
      <c r="K88" s="19"/>
      <c r="L88" s="19"/>
      <c r="M88" s="19"/>
    </row>
    <row r="89" ht="14.1" customHeight="1" spans="1:13">
      <c r="A89" s="19"/>
      <c r="B89" s="19"/>
      <c r="C89" s="20" t="s">
        <v>255</v>
      </c>
      <c r="D89" s="19"/>
      <c r="E89" s="19"/>
      <c r="F89" s="19"/>
      <c r="G89" s="19"/>
      <c r="H89" s="21"/>
      <c r="I89" s="21"/>
      <c r="J89" s="19"/>
      <c r="K89" s="19"/>
      <c r="L89" s="19"/>
      <c r="M89" s="19"/>
    </row>
    <row r="90" ht="14.1" customHeight="1" spans="1:13">
      <c r="A90" s="22">
        <v>837</v>
      </c>
      <c r="B90" s="19"/>
      <c r="C90" s="19" t="s">
        <v>907</v>
      </c>
      <c r="D90" s="19" t="s">
        <v>39</v>
      </c>
      <c r="E90" s="19"/>
      <c r="F90" s="19"/>
      <c r="G90" s="19"/>
      <c r="H90" s="21"/>
      <c r="I90" s="23">
        <v>10750</v>
      </c>
      <c r="J90" s="19"/>
      <c r="K90" s="19"/>
      <c r="L90" s="19"/>
      <c r="M90" s="19"/>
    </row>
    <row r="91" ht="14.1" customHeight="1" spans="1:13">
      <c r="A91" s="19"/>
      <c r="B91" s="19"/>
      <c r="C91" s="19"/>
      <c r="D91" s="19"/>
      <c r="E91" s="19"/>
      <c r="F91" s="19"/>
      <c r="G91" s="19"/>
      <c r="H91" s="21"/>
      <c r="I91" s="21"/>
      <c r="J91" s="19"/>
      <c r="K91" s="19"/>
      <c r="L91" s="19"/>
      <c r="M91" s="19"/>
    </row>
    <row r="92" ht="14.1" customHeight="1" spans="1:13">
      <c r="A92" s="19"/>
      <c r="B92" s="19"/>
      <c r="C92" s="20" t="s">
        <v>50</v>
      </c>
      <c r="D92" s="19"/>
      <c r="E92" s="19"/>
      <c r="F92" s="19"/>
      <c r="G92" s="19"/>
      <c r="H92" s="21"/>
      <c r="I92" s="21"/>
      <c r="J92" s="19"/>
      <c r="K92" s="19"/>
      <c r="L92" s="19"/>
      <c r="M92" s="19"/>
    </row>
    <row r="93" ht="14.1" customHeight="1" spans="1:13">
      <c r="A93" s="22">
        <v>838</v>
      </c>
      <c r="B93" s="19"/>
      <c r="C93" s="19" t="s">
        <v>908</v>
      </c>
      <c r="D93" s="19" t="s">
        <v>39</v>
      </c>
      <c r="E93" s="19"/>
      <c r="F93" s="19"/>
      <c r="G93" s="19"/>
      <c r="H93" s="21"/>
      <c r="I93" s="23">
        <v>3875</v>
      </c>
      <c r="J93" s="24">
        <v>4325</v>
      </c>
      <c r="K93" s="24">
        <v>4908</v>
      </c>
      <c r="L93" s="24">
        <v>5088</v>
      </c>
      <c r="M93" s="19"/>
    </row>
    <row r="94" ht="14.1" customHeight="1" spans="1:13">
      <c r="A94" s="19"/>
      <c r="B94" s="19"/>
      <c r="C94" s="19"/>
      <c r="D94" s="19"/>
      <c r="E94" s="19"/>
      <c r="F94" s="19"/>
      <c r="G94" s="19"/>
      <c r="H94" s="21"/>
      <c r="I94" s="21"/>
      <c r="J94" s="19"/>
      <c r="K94" s="19"/>
      <c r="L94" s="19"/>
      <c r="M94" s="19"/>
    </row>
    <row r="95" ht="14.1" customHeight="1" spans="1:13">
      <c r="A95" s="22">
        <v>839</v>
      </c>
      <c r="B95" s="19"/>
      <c r="C95" s="19" t="s">
        <v>909</v>
      </c>
      <c r="D95" s="19" t="s">
        <v>39</v>
      </c>
      <c r="E95" s="24">
        <v>2450</v>
      </c>
      <c r="F95" s="24">
        <v>2708</v>
      </c>
      <c r="G95" s="24">
        <v>3017</v>
      </c>
      <c r="H95" s="21"/>
      <c r="I95" s="21"/>
      <c r="J95" s="19"/>
      <c r="K95" s="19"/>
      <c r="L95" s="19"/>
      <c r="M95" s="19"/>
    </row>
    <row r="96" ht="14.1" customHeight="1" spans="1:13">
      <c r="A96" s="19"/>
      <c r="B96" s="19"/>
      <c r="C96" s="19"/>
      <c r="D96" s="19"/>
      <c r="E96" s="19"/>
      <c r="F96" s="19"/>
      <c r="G96" s="19"/>
      <c r="H96" s="21"/>
      <c r="I96" s="21"/>
      <c r="J96" s="19"/>
      <c r="K96" s="19"/>
      <c r="L96" s="19"/>
      <c r="M96" s="19"/>
    </row>
    <row r="97" ht="14.1" customHeight="1" spans="1:13">
      <c r="A97" s="22">
        <v>840</v>
      </c>
      <c r="B97" s="19"/>
      <c r="C97" s="19" t="s">
        <v>910</v>
      </c>
      <c r="D97" s="19" t="s">
        <v>39</v>
      </c>
      <c r="E97" s="19"/>
      <c r="F97" s="19"/>
      <c r="G97" s="19"/>
      <c r="H97" s="23">
        <v>3050</v>
      </c>
      <c r="I97" s="21"/>
      <c r="J97" s="19"/>
      <c r="K97" s="19"/>
      <c r="L97" s="19"/>
      <c r="M97" s="19"/>
    </row>
    <row r="98" ht="14.1" customHeight="1" spans="1:13">
      <c r="A98" s="19"/>
      <c r="B98" s="19"/>
      <c r="C98" s="19"/>
      <c r="D98" s="19"/>
      <c r="E98" s="19"/>
      <c r="F98" s="19"/>
      <c r="G98" s="19"/>
      <c r="H98" s="21"/>
      <c r="I98" s="21"/>
      <c r="J98" s="19"/>
      <c r="K98" s="19"/>
      <c r="L98" s="19"/>
      <c r="M98" s="19"/>
    </row>
    <row r="99" ht="14.1" customHeight="1" spans="1:13">
      <c r="A99" s="22">
        <v>841</v>
      </c>
      <c r="B99" s="19"/>
      <c r="C99" s="19" t="s">
        <v>911</v>
      </c>
      <c r="D99" s="19" t="s">
        <v>39</v>
      </c>
      <c r="E99" s="24">
        <v>3256</v>
      </c>
      <c r="F99" s="24">
        <v>3695</v>
      </c>
      <c r="G99" s="24">
        <v>3850</v>
      </c>
      <c r="H99" s="23">
        <v>3996</v>
      </c>
      <c r="I99" s="23">
        <v>5158</v>
      </c>
      <c r="J99" s="24">
        <v>5458</v>
      </c>
      <c r="K99" s="24">
        <v>6317</v>
      </c>
      <c r="L99" s="24">
        <v>7158</v>
      </c>
      <c r="M99" s="19"/>
    </row>
    <row r="100" ht="14.1" customHeight="1" spans="1:13">
      <c r="A100" s="19"/>
      <c r="B100" s="19"/>
      <c r="C100" s="19"/>
      <c r="D100" s="19"/>
      <c r="E100" s="19"/>
      <c r="F100" s="19"/>
      <c r="G100" s="19"/>
      <c r="H100" s="21"/>
      <c r="I100" s="21"/>
      <c r="J100" s="19"/>
      <c r="K100" s="19"/>
      <c r="L100" s="19"/>
      <c r="M100" s="19"/>
    </row>
    <row r="101" ht="14.1" customHeight="1" spans="1:13">
      <c r="A101" s="22">
        <v>842</v>
      </c>
      <c r="B101" s="19"/>
      <c r="C101" s="19" t="s">
        <v>912</v>
      </c>
      <c r="D101" s="19" t="s">
        <v>39</v>
      </c>
      <c r="E101" s="24">
        <v>3125</v>
      </c>
      <c r="F101" s="24">
        <v>3785</v>
      </c>
      <c r="G101" s="24">
        <v>4613</v>
      </c>
      <c r="H101" s="23">
        <v>4975</v>
      </c>
      <c r="I101" s="23">
        <v>6000</v>
      </c>
      <c r="J101" s="24">
        <v>6950</v>
      </c>
      <c r="K101" s="24">
        <v>8175</v>
      </c>
      <c r="L101" s="24">
        <v>10250</v>
      </c>
      <c r="M101" s="19"/>
    </row>
    <row r="102" ht="14.1" customHeight="1" spans="1:13">
      <c r="A102" s="19"/>
      <c r="B102" s="19"/>
      <c r="C102" s="19"/>
      <c r="D102" s="19"/>
      <c r="E102" s="19"/>
      <c r="F102" s="19"/>
      <c r="G102" s="19"/>
      <c r="H102" s="21"/>
      <c r="I102" s="21"/>
      <c r="J102" s="19"/>
      <c r="K102" s="19"/>
      <c r="L102" s="19"/>
      <c r="M102" s="19"/>
    </row>
    <row r="103" ht="14.1" customHeight="1" spans="1:13">
      <c r="A103" s="19"/>
      <c r="B103" s="19"/>
      <c r="C103" s="20" t="s">
        <v>287</v>
      </c>
      <c r="D103" s="19"/>
      <c r="E103" s="19"/>
      <c r="F103" s="19"/>
      <c r="G103" s="19"/>
      <c r="H103" s="21"/>
      <c r="I103" s="21"/>
      <c r="J103" s="19"/>
      <c r="K103" s="19"/>
      <c r="L103" s="19"/>
      <c r="M103" s="19"/>
    </row>
    <row r="104" ht="14.1" customHeight="1" spans="1:13">
      <c r="A104" s="22">
        <v>843</v>
      </c>
      <c r="B104" s="19"/>
      <c r="C104" s="19" t="s">
        <v>913</v>
      </c>
      <c r="D104" s="19" t="s">
        <v>39</v>
      </c>
      <c r="E104" s="19"/>
      <c r="F104" s="19"/>
      <c r="G104" s="24">
        <v>6194</v>
      </c>
      <c r="H104" s="23">
        <v>6808</v>
      </c>
      <c r="I104" s="23">
        <v>7444</v>
      </c>
      <c r="J104" s="24">
        <v>8996</v>
      </c>
      <c r="K104" s="24">
        <v>10354</v>
      </c>
      <c r="L104" s="24">
        <v>12579</v>
      </c>
      <c r="M104" s="19"/>
    </row>
    <row r="105" ht="14.1" customHeight="1" spans="1:13">
      <c r="A105" s="19"/>
      <c r="B105" s="19"/>
      <c r="C105" s="19"/>
      <c r="D105" s="19"/>
      <c r="E105" s="19"/>
      <c r="F105" s="19"/>
      <c r="G105" s="19"/>
      <c r="H105" s="21"/>
      <c r="I105" s="21"/>
      <c r="J105" s="19"/>
      <c r="K105" s="19"/>
      <c r="L105" s="19"/>
      <c r="M105" s="19"/>
    </row>
    <row r="106" ht="14.1" customHeight="1" spans="1:13">
      <c r="A106" s="22">
        <v>844</v>
      </c>
      <c r="B106" s="19"/>
      <c r="C106" s="19" t="s">
        <v>914</v>
      </c>
      <c r="D106" s="19" t="s">
        <v>39</v>
      </c>
      <c r="E106" s="24">
        <v>3290</v>
      </c>
      <c r="F106" s="24">
        <v>4085</v>
      </c>
      <c r="G106" s="24">
        <v>4138</v>
      </c>
      <c r="H106" s="23">
        <v>4463</v>
      </c>
      <c r="I106" s="23">
        <v>5350</v>
      </c>
      <c r="J106" s="24">
        <v>5925</v>
      </c>
      <c r="K106" s="24">
        <v>7113</v>
      </c>
      <c r="L106" s="24">
        <v>8550</v>
      </c>
      <c r="M106" s="19"/>
    </row>
    <row r="107" ht="14.1" customHeight="1" spans="1:13">
      <c r="A107" s="19"/>
      <c r="B107" s="19"/>
      <c r="C107" s="19"/>
      <c r="D107" s="19"/>
      <c r="E107" s="19"/>
      <c r="F107" s="19"/>
      <c r="G107" s="19"/>
      <c r="H107" s="21"/>
      <c r="I107" s="21"/>
      <c r="J107" s="19"/>
      <c r="K107" s="19"/>
      <c r="L107" s="19"/>
      <c r="M107" s="19"/>
    </row>
    <row r="108" ht="14.1" customHeight="1" spans="1:13">
      <c r="A108" s="22">
        <v>845</v>
      </c>
      <c r="B108" s="19"/>
      <c r="C108" s="19" t="s">
        <v>915</v>
      </c>
      <c r="D108" s="19" t="s">
        <v>39</v>
      </c>
      <c r="E108" s="24">
        <v>4388</v>
      </c>
      <c r="F108" s="24">
        <v>5238</v>
      </c>
      <c r="G108" s="24">
        <v>5245</v>
      </c>
      <c r="H108" s="23">
        <v>5813</v>
      </c>
      <c r="I108" s="23">
        <v>6892</v>
      </c>
      <c r="J108" s="24">
        <v>7900</v>
      </c>
      <c r="K108" s="24">
        <v>9444</v>
      </c>
      <c r="L108" s="24">
        <v>10500</v>
      </c>
      <c r="M108" s="19"/>
    </row>
    <row r="109" ht="14.1" customHeight="1" spans="1:13">
      <c r="A109" s="19"/>
      <c r="B109" s="19"/>
      <c r="C109" s="19"/>
      <c r="D109" s="19"/>
      <c r="E109" s="19"/>
      <c r="F109" s="19"/>
      <c r="G109" s="19"/>
      <c r="H109" s="21"/>
      <c r="I109" s="21"/>
      <c r="J109" s="19"/>
      <c r="K109" s="19"/>
      <c r="L109" s="19"/>
      <c r="M109" s="19"/>
    </row>
    <row r="110" ht="14.1" customHeight="1" spans="1:13">
      <c r="A110" s="22">
        <v>846</v>
      </c>
      <c r="B110" s="19"/>
      <c r="C110" s="19" t="s">
        <v>916</v>
      </c>
      <c r="D110" s="19" t="s">
        <v>39</v>
      </c>
      <c r="E110" s="19"/>
      <c r="F110" s="19"/>
      <c r="G110" s="19"/>
      <c r="H110" s="21"/>
      <c r="I110" s="21"/>
      <c r="J110" s="19"/>
      <c r="K110" s="19"/>
      <c r="L110" s="19"/>
      <c r="M110" s="24">
        <v>18408</v>
      </c>
    </row>
    <row r="111" ht="14.1" customHeight="1" spans="1:13">
      <c r="A111" s="19"/>
      <c r="B111" s="19"/>
      <c r="C111" s="19"/>
      <c r="D111" s="19"/>
      <c r="E111" s="19"/>
      <c r="F111" s="19"/>
      <c r="G111" s="19"/>
      <c r="H111" s="21"/>
      <c r="I111" s="21"/>
      <c r="J111" s="19"/>
      <c r="K111" s="19"/>
      <c r="L111" s="19"/>
      <c r="M111" s="19"/>
    </row>
    <row r="112" ht="14.1" customHeight="1" spans="1:13">
      <c r="A112" s="22">
        <v>847</v>
      </c>
      <c r="B112" s="19"/>
      <c r="C112" s="19" t="s">
        <v>917</v>
      </c>
      <c r="D112" s="19" t="s">
        <v>39</v>
      </c>
      <c r="E112" s="19"/>
      <c r="F112" s="19"/>
      <c r="G112" s="19"/>
      <c r="H112" s="21"/>
      <c r="I112" s="21"/>
      <c r="J112" s="19"/>
      <c r="K112" s="24">
        <v>10396</v>
      </c>
      <c r="L112" s="24">
        <v>11958</v>
      </c>
      <c r="M112" s="19"/>
    </row>
    <row r="113" ht="14.1" customHeight="1" spans="1:13">
      <c r="A113" s="19"/>
      <c r="B113" s="19"/>
      <c r="C113" s="19"/>
      <c r="D113" s="19"/>
      <c r="E113" s="19"/>
      <c r="F113" s="19"/>
      <c r="G113" s="19"/>
      <c r="H113" s="21"/>
      <c r="I113" s="21"/>
      <c r="J113" s="19"/>
      <c r="K113" s="19"/>
      <c r="L113" s="19"/>
      <c r="M113" s="19"/>
    </row>
    <row r="114" ht="14.1" customHeight="1" spans="1:13">
      <c r="A114" s="22">
        <v>848</v>
      </c>
      <c r="B114" s="19"/>
      <c r="C114" s="19" t="s">
        <v>918</v>
      </c>
      <c r="D114" s="19" t="s">
        <v>39</v>
      </c>
      <c r="E114" s="19"/>
      <c r="F114" s="19"/>
      <c r="G114" s="19"/>
      <c r="H114" s="21"/>
      <c r="I114" s="21"/>
      <c r="J114" s="19"/>
      <c r="K114" s="24">
        <v>12445</v>
      </c>
      <c r="L114" s="24">
        <v>14045</v>
      </c>
      <c r="M114" s="19"/>
    </row>
    <row r="115" ht="14.1" customHeight="1" spans="1:13">
      <c r="A115" s="19"/>
      <c r="B115" s="19"/>
      <c r="C115" s="19"/>
      <c r="D115" s="19"/>
      <c r="E115" s="19"/>
      <c r="F115" s="19"/>
      <c r="G115" s="19"/>
      <c r="H115" s="21"/>
      <c r="I115" s="21"/>
      <c r="J115" s="19"/>
      <c r="K115" s="19"/>
      <c r="L115" s="19"/>
      <c r="M115" s="19"/>
    </row>
    <row r="116" ht="14.1" customHeight="1" spans="1:13">
      <c r="A116" s="19"/>
      <c r="B116" s="19"/>
      <c r="C116" s="20" t="s">
        <v>60</v>
      </c>
      <c r="D116" s="19"/>
      <c r="E116" s="19"/>
      <c r="F116" s="19"/>
      <c r="G116" s="19"/>
      <c r="H116" s="21"/>
      <c r="I116" s="21"/>
      <c r="J116" s="19"/>
      <c r="K116" s="19"/>
      <c r="L116" s="19"/>
      <c r="M116" s="19"/>
    </row>
    <row r="117" ht="14.1" customHeight="1" spans="1:13">
      <c r="A117" s="22">
        <v>849</v>
      </c>
      <c r="B117" s="19"/>
      <c r="C117" s="19" t="s">
        <v>919</v>
      </c>
      <c r="D117" s="19" t="s">
        <v>39</v>
      </c>
      <c r="E117" s="19"/>
      <c r="F117" s="19"/>
      <c r="G117" s="19"/>
      <c r="H117" s="21"/>
      <c r="I117" s="21"/>
      <c r="J117" s="19"/>
      <c r="K117" s="19"/>
      <c r="L117" s="19"/>
      <c r="M117" s="24">
        <v>9375</v>
      </c>
    </row>
    <row r="118" ht="14.1" customHeight="1" spans="1:13">
      <c r="A118" s="19"/>
      <c r="B118" s="19"/>
      <c r="C118" s="19"/>
      <c r="D118" s="19"/>
      <c r="E118" s="19"/>
      <c r="F118" s="19"/>
      <c r="G118" s="19"/>
      <c r="H118" s="21"/>
      <c r="I118" s="21"/>
      <c r="J118" s="19"/>
      <c r="K118" s="19"/>
      <c r="L118" s="19"/>
      <c r="M118" s="19"/>
    </row>
    <row r="119" ht="14.1" customHeight="1" spans="1:13">
      <c r="A119" s="22">
        <v>850</v>
      </c>
      <c r="B119" s="19"/>
      <c r="C119" s="19" t="s">
        <v>920</v>
      </c>
      <c r="D119" s="19" t="s">
        <v>39</v>
      </c>
      <c r="E119" s="19"/>
      <c r="F119" s="19"/>
      <c r="G119" s="19"/>
      <c r="H119" s="21"/>
      <c r="I119" s="21"/>
      <c r="J119" s="19"/>
      <c r="K119" s="19"/>
      <c r="L119" s="19"/>
      <c r="M119" s="24">
        <v>13619</v>
      </c>
    </row>
    <row r="120" ht="14.1" customHeight="1" spans="1:13">
      <c r="A120" s="19"/>
      <c r="B120" s="19"/>
      <c r="C120" s="19"/>
      <c r="D120" s="19"/>
      <c r="E120" s="19"/>
      <c r="F120" s="19"/>
      <c r="G120" s="19"/>
      <c r="H120" s="21"/>
      <c r="I120" s="21"/>
      <c r="J120" s="19"/>
      <c r="K120" s="19"/>
      <c r="L120" s="19"/>
      <c r="M120" s="19"/>
    </row>
    <row r="121" ht="14.1" customHeight="1" spans="1:13">
      <c r="A121" s="19"/>
      <c r="B121" s="19"/>
      <c r="C121" s="20" t="s">
        <v>62</v>
      </c>
      <c r="D121" s="19"/>
      <c r="E121" s="19"/>
      <c r="F121" s="19"/>
      <c r="G121" s="19"/>
      <c r="H121" s="21"/>
      <c r="I121" s="21"/>
      <c r="J121" s="19"/>
      <c r="K121" s="19"/>
      <c r="L121" s="19"/>
      <c r="M121" s="19"/>
    </row>
    <row r="122" ht="14.1" customHeight="1" spans="1:13">
      <c r="A122" s="22">
        <v>851</v>
      </c>
      <c r="B122" s="19"/>
      <c r="C122" s="19" t="s">
        <v>921</v>
      </c>
      <c r="D122" s="19" t="s">
        <v>39</v>
      </c>
      <c r="E122" s="24">
        <v>4620</v>
      </c>
      <c r="F122" s="19"/>
      <c r="G122" s="19"/>
      <c r="H122" s="21"/>
      <c r="I122" s="21"/>
      <c r="J122" s="19"/>
      <c r="K122" s="19"/>
      <c r="L122" s="19"/>
      <c r="M122" s="19"/>
    </row>
    <row r="123" ht="14.1" customHeight="1" spans="1:13">
      <c r="A123" s="19"/>
      <c r="B123" s="19"/>
      <c r="C123" s="19"/>
      <c r="D123" s="19"/>
      <c r="E123" s="19"/>
      <c r="F123" s="19"/>
      <c r="G123" s="19"/>
      <c r="H123" s="21"/>
      <c r="I123" s="21"/>
      <c r="J123" s="19"/>
      <c r="K123" s="19"/>
      <c r="L123" s="19"/>
      <c r="M123" s="19"/>
    </row>
    <row r="124" ht="14.1" customHeight="1" spans="1:13">
      <c r="A124" s="22">
        <v>852</v>
      </c>
      <c r="B124" s="19"/>
      <c r="C124" s="19" t="s">
        <v>922</v>
      </c>
      <c r="D124" s="19" t="s">
        <v>39</v>
      </c>
      <c r="E124" s="19"/>
      <c r="F124" s="19"/>
      <c r="G124" s="24">
        <v>5614</v>
      </c>
      <c r="H124" s="23">
        <v>6425</v>
      </c>
      <c r="I124" s="23">
        <v>7288</v>
      </c>
      <c r="J124" s="24">
        <v>8033</v>
      </c>
      <c r="K124" s="24">
        <v>8996</v>
      </c>
      <c r="L124" s="24">
        <v>13983</v>
      </c>
      <c r="M124" s="24">
        <v>16080</v>
      </c>
    </row>
    <row r="125" ht="14.1" customHeight="1" spans="1:13">
      <c r="A125" s="19"/>
      <c r="B125" s="19"/>
      <c r="C125" s="19"/>
      <c r="D125" s="19"/>
      <c r="E125" s="19"/>
      <c r="F125" s="19"/>
      <c r="G125" s="19"/>
      <c r="H125" s="21"/>
      <c r="I125" s="21"/>
      <c r="J125" s="19"/>
      <c r="K125" s="19"/>
      <c r="L125" s="19"/>
      <c r="M125" s="19"/>
    </row>
    <row r="126" ht="14.1" customHeight="1" spans="1:13">
      <c r="A126" s="22">
        <v>853</v>
      </c>
      <c r="B126" s="19"/>
      <c r="C126" s="19" t="s">
        <v>923</v>
      </c>
      <c r="D126" s="19" t="s">
        <v>39</v>
      </c>
      <c r="E126" s="19"/>
      <c r="F126" s="19"/>
      <c r="G126" s="19"/>
      <c r="H126" s="21"/>
      <c r="I126" s="21"/>
      <c r="J126" s="19"/>
      <c r="K126" s="19"/>
      <c r="L126" s="19"/>
      <c r="M126" s="24">
        <v>18463</v>
      </c>
    </row>
    <row r="127" ht="14.1" customHeight="1" spans="1:13">
      <c r="A127" s="19"/>
      <c r="B127" s="19"/>
      <c r="C127" s="19"/>
      <c r="D127" s="19"/>
      <c r="E127" s="19"/>
      <c r="F127" s="19"/>
      <c r="G127" s="19"/>
      <c r="H127" s="21"/>
      <c r="I127" s="21"/>
      <c r="J127" s="19"/>
      <c r="K127" s="19"/>
      <c r="L127" s="19"/>
      <c r="M127" s="19"/>
    </row>
    <row r="128" ht="14.1" customHeight="1" spans="1:13">
      <c r="A128" s="22">
        <v>854</v>
      </c>
      <c r="B128" s="19"/>
      <c r="C128" s="19" t="s">
        <v>924</v>
      </c>
      <c r="D128" s="19" t="s">
        <v>39</v>
      </c>
      <c r="E128" s="19"/>
      <c r="F128" s="19"/>
      <c r="G128" s="19"/>
      <c r="H128" s="23">
        <v>9450</v>
      </c>
      <c r="I128" s="23">
        <v>10880</v>
      </c>
      <c r="J128" s="24">
        <v>12260</v>
      </c>
      <c r="K128" s="24">
        <v>13744</v>
      </c>
      <c r="L128" s="24">
        <v>15600</v>
      </c>
      <c r="M128" s="24">
        <v>17940</v>
      </c>
    </row>
    <row r="129" ht="14.1" customHeight="1" spans="1:13">
      <c r="A129" s="19"/>
      <c r="B129" s="19"/>
      <c r="C129" s="19"/>
      <c r="D129" s="19"/>
      <c r="E129" s="19"/>
      <c r="F129" s="19"/>
      <c r="G129" s="19"/>
      <c r="H129" s="21"/>
      <c r="I129" s="21"/>
      <c r="J129" s="19"/>
      <c r="K129" s="19"/>
      <c r="L129" s="19"/>
      <c r="M129" s="19"/>
    </row>
    <row r="130" ht="14.1" customHeight="1" spans="1:13">
      <c r="A130" s="22">
        <v>855</v>
      </c>
      <c r="B130" s="19"/>
      <c r="C130" s="19" t="s">
        <v>925</v>
      </c>
      <c r="D130" s="19" t="s">
        <v>39</v>
      </c>
      <c r="E130" s="19"/>
      <c r="F130" s="19"/>
      <c r="G130" s="19"/>
      <c r="H130" s="21"/>
      <c r="I130" s="21"/>
      <c r="J130" s="19"/>
      <c r="K130" s="19"/>
      <c r="L130" s="19"/>
      <c r="M130" s="24">
        <v>14840</v>
      </c>
    </row>
    <row r="131" ht="14.1" customHeight="1" spans="1:13">
      <c r="A131" s="19"/>
      <c r="B131" s="19"/>
      <c r="C131" s="19"/>
      <c r="D131" s="19"/>
      <c r="E131" s="19"/>
      <c r="F131" s="19"/>
      <c r="G131" s="19"/>
      <c r="H131" s="21"/>
      <c r="I131" s="21"/>
      <c r="J131" s="19"/>
      <c r="K131" s="19"/>
      <c r="L131" s="19"/>
      <c r="M131" s="19"/>
    </row>
    <row r="132" ht="14.1" customHeight="1" spans="1:13">
      <c r="A132" s="22">
        <v>856</v>
      </c>
      <c r="B132" s="19"/>
      <c r="C132" s="19" t="s">
        <v>926</v>
      </c>
      <c r="D132" s="19" t="s">
        <v>39</v>
      </c>
      <c r="E132" s="19"/>
      <c r="F132" s="19"/>
      <c r="G132" s="24">
        <v>7400</v>
      </c>
      <c r="H132" s="23">
        <v>8056</v>
      </c>
      <c r="I132" s="23">
        <v>9400</v>
      </c>
      <c r="J132" s="24">
        <v>11267</v>
      </c>
      <c r="K132" s="24">
        <v>12667</v>
      </c>
      <c r="L132" s="24">
        <v>13317</v>
      </c>
      <c r="M132" s="24">
        <v>15315</v>
      </c>
    </row>
    <row r="133" ht="14.1" customHeight="1" spans="1:13">
      <c r="A133" s="19"/>
      <c r="B133" s="19"/>
      <c r="C133" s="19"/>
      <c r="D133" s="19"/>
      <c r="E133" s="19"/>
      <c r="F133" s="19"/>
      <c r="G133" s="19"/>
      <c r="H133" s="21"/>
      <c r="I133" s="21"/>
      <c r="J133" s="19"/>
      <c r="K133" s="19"/>
      <c r="L133" s="19"/>
      <c r="M133" s="19"/>
    </row>
    <row r="134" ht="14.1" customHeight="1" spans="1:13">
      <c r="A134" s="22">
        <v>857</v>
      </c>
      <c r="B134" s="19"/>
      <c r="C134" s="19" t="s">
        <v>927</v>
      </c>
      <c r="D134" s="19" t="s">
        <v>39</v>
      </c>
      <c r="E134" s="19"/>
      <c r="F134" s="19"/>
      <c r="G134" s="19"/>
      <c r="H134" s="23">
        <v>6594</v>
      </c>
      <c r="I134" s="23">
        <v>7803</v>
      </c>
      <c r="J134" s="24">
        <v>9584</v>
      </c>
      <c r="K134" s="24">
        <v>11259</v>
      </c>
      <c r="L134" s="24">
        <v>14569</v>
      </c>
      <c r="M134" s="24">
        <v>16388</v>
      </c>
    </row>
    <row r="135" ht="14.1" customHeight="1" spans="1:13">
      <c r="A135" s="19"/>
      <c r="B135" s="19"/>
      <c r="C135" s="19"/>
      <c r="D135" s="19"/>
      <c r="E135" s="19"/>
      <c r="F135" s="19"/>
      <c r="G135" s="19"/>
      <c r="H135" s="21"/>
      <c r="I135" s="21"/>
      <c r="J135" s="19"/>
      <c r="K135" s="19"/>
      <c r="L135" s="19"/>
      <c r="M135" s="19"/>
    </row>
    <row r="136" ht="14.1" customHeight="1" spans="1:13">
      <c r="A136" s="22">
        <v>858</v>
      </c>
      <c r="B136" s="19"/>
      <c r="C136" s="19" t="s">
        <v>928</v>
      </c>
      <c r="D136" s="19" t="s">
        <v>39</v>
      </c>
      <c r="E136" s="19"/>
      <c r="F136" s="19"/>
      <c r="G136" s="19"/>
      <c r="H136" s="21"/>
      <c r="I136" s="21"/>
      <c r="J136" s="19"/>
      <c r="K136" s="24">
        <v>13131</v>
      </c>
      <c r="L136" s="24">
        <v>16013</v>
      </c>
      <c r="M136" s="24">
        <v>18415</v>
      </c>
    </row>
    <row r="137" ht="14.1" customHeight="1" spans="1:13">
      <c r="A137" s="19"/>
      <c r="B137" s="19"/>
      <c r="C137" s="19"/>
      <c r="D137" s="19"/>
      <c r="E137" s="19"/>
      <c r="F137" s="19"/>
      <c r="G137" s="19"/>
      <c r="H137" s="21"/>
      <c r="I137" s="21"/>
      <c r="J137" s="19"/>
      <c r="K137" s="19"/>
      <c r="L137" s="19"/>
      <c r="M137" s="19"/>
    </row>
    <row r="138" ht="14.1" customHeight="1" spans="1:13">
      <c r="A138" s="22">
        <v>859</v>
      </c>
      <c r="B138" s="19"/>
      <c r="C138" s="19" t="s">
        <v>929</v>
      </c>
      <c r="D138" s="19" t="s">
        <v>39</v>
      </c>
      <c r="E138" s="19"/>
      <c r="F138" s="19"/>
      <c r="G138" s="19"/>
      <c r="H138" s="21"/>
      <c r="I138" s="21"/>
      <c r="J138" s="19"/>
      <c r="K138" s="19"/>
      <c r="L138" s="19"/>
      <c r="M138" s="24">
        <v>26481</v>
      </c>
    </row>
    <row r="139" ht="14.1" customHeight="1" spans="1:13">
      <c r="A139" s="19"/>
      <c r="B139" s="19"/>
      <c r="C139" s="19"/>
      <c r="D139" s="19"/>
      <c r="E139" s="19"/>
      <c r="F139" s="19"/>
      <c r="G139" s="19"/>
      <c r="H139" s="21"/>
      <c r="I139" s="21"/>
      <c r="J139" s="19"/>
      <c r="K139" s="19"/>
      <c r="L139" s="19"/>
      <c r="M139" s="19"/>
    </row>
    <row r="140" ht="14.1" customHeight="1" spans="1:13">
      <c r="A140" s="19"/>
      <c r="B140" s="19"/>
      <c r="C140" s="20" t="s">
        <v>37</v>
      </c>
      <c r="D140" s="19"/>
      <c r="E140" s="19"/>
      <c r="F140" s="19"/>
      <c r="G140" s="19"/>
      <c r="H140" s="21"/>
      <c r="I140" s="21"/>
      <c r="J140" s="19"/>
      <c r="K140" s="19"/>
      <c r="L140" s="19"/>
      <c r="M140" s="19"/>
    </row>
    <row r="141" ht="14.1" customHeight="1" spans="1:13">
      <c r="A141" s="22">
        <v>860</v>
      </c>
      <c r="B141" s="19"/>
      <c r="C141" s="19" t="s">
        <v>930</v>
      </c>
      <c r="D141" s="19" t="s">
        <v>39</v>
      </c>
      <c r="E141" s="19"/>
      <c r="F141" s="19"/>
      <c r="G141" s="24">
        <v>3467</v>
      </c>
      <c r="H141" s="23">
        <v>4400</v>
      </c>
      <c r="I141" s="23">
        <v>4917</v>
      </c>
      <c r="J141" s="24">
        <v>5942</v>
      </c>
      <c r="K141" s="24">
        <v>6817</v>
      </c>
      <c r="L141" s="24">
        <v>9383</v>
      </c>
      <c r="M141" s="19"/>
    </row>
    <row r="142" ht="14.1" customHeight="1" spans="1:13">
      <c r="A142" s="19"/>
      <c r="B142" s="19"/>
      <c r="C142" s="19"/>
      <c r="D142" s="19"/>
      <c r="E142" s="19"/>
      <c r="F142" s="19"/>
      <c r="G142" s="19"/>
      <c r="H142" s="21"/>
      <c r="I142" s="21"/>
      <c r="J142" s="19"/>
      <c r="K142" s="19"/>
      <c r="L142" s="19"/>
      <c r="M142" s="19"/>
    </row>
    <row r="143" ht="14.1" customHeight="1" spans="1:13">
      <c r="A143" s="19"/>
      <c r="B143" s="19"/>
      <c r="C143" s="20" t="s">
        <v>217</v>
      </c>
      <c r="D143" s="19"/>
      <c r="E143" s="19"/>
      <c r="F143" s="19"/>
      <c r="G143" s="19"/>
      <c r="H143" s="21"/>
      <c r="I143" s="21"/>
      <c r="J143" s="19"/>
      <c r="K143" s="19"/>
      <c r="L143" s="19"/>
      <c r="M143" s="19"/>
    </row>
    <row r="144" ht="14.1" customHeight="1" spans="1:13">
      <c r="A144" s="22">
        <v>861</v>
      </c>
      <c r="B144" s="19"/>
      <c r="C144" s="19" t="s">
        <v>931</v>
      </c>
      <c r="D144" s="19" t="s">
        <v>39</v>
      </c>
      <c r="E144" s="19"/>
      <c r="F144" s="19"/>
      <c r="G144" s="24">
        <v>3392</v>
      </c>
      <c r="H144" s="23">
        <v>4342</v>
      </c>
      <c r="I144" s="23">
        <v>4917</v>
      </c>
      <c r="J144" s="24">
        <v>5375</v>
      </c>
      <c r="K144" s="24">
        <v>5963</v>
      </c>
      <c r="L144" s="24">
        <v>8338</v>
      </c>
      <c r="M144" s="19"/>
    </row>
    <row r="145" ht="14.1" customHeight="1" spans="1:13">
      <c r="A145" s="19"/>
      <c r="B145" s="19"/>
      <c r="C145" s="19"/>
      <c r="D145" s="19"/>
      <c r="E145" s="19"/>
      <c r="F145" s="19"/>
      <c r="G145" s="19"/>
      <c r="H145" s="21"/>
      <c r="I145" s="21"/>
      <c r="J145" s="19"/>
      <c r="K145" s="19"/>
      <c r="L145" s="19"/>
      <c r="M145" s="19"/>
    </row>
    <row r="146" ht="14.1" customHeight="1" spans="1:13">
      <c r="A146" s="22">
        <v>862</v>
      </c>
      <c r="B146" s="19"/>
      <c r="C146" s="19" t="s">
        <v>932</v>
      </c>
      <c r="D146" s="19" t="s">
        <v>39</v>
      </c>
      <c r="E146" s="19"/>
      <c r="F146" s="19"/>
      <c r="G146" s="19"/>
      <c r="H146" s="21"/>
      <c r="I146" s="21"/>
      <c r="J146" s="24">
        <v>6058</v>
      </c>
      <c r="K146" s="24">
        <v>6625</v>
      </c>
      <c r="L146" s="24">
        <v>9167</v>
      </c>
      <c r="M146" s="19"/>
    </row>
    <row r="147" ht="14.1" customHeight="1" spans="1:13">
      <c r="A147" s="19"/>
      <c r="B147" s="19"/>
      <c r="C147" s="19"/>
      <c r="D147" s="19"/>
      <c r="E147" s="19"/>
      <c r="F147" s="19"/>
      <c r="G147" s="19"/>
      <c r="H147" s="21"/>
      <c r="I147" s="21"/>
      <c r="J147" s="19"/>
      <c r="K147" s="19"/>
      <c r="L147" s="19"/>
      <c r="M147" s="19"/>
    </row>
    <row r="148" ht="14.1" customHeight="1" spans="1:13">
      <c r="A148" s="19"/>
      <c r="B148" s="19"/>
      <c r="C148" s="20" t="s">
        <v>519</v>
      </c>
      <c r="D148" s="19"/>
      <c r="E148" s="19"/>
      <c r="F148" s="19"/>
      <c r="G148" s="19"/>
      <c r="H148" s="21"/>
      <c r="I148" s="21"/>
      <c r="J148" s="19"/>
      <c r="K148" s="19"/>
      <c r="L148" s="19"/>
      <c r="M148" s="19"/>
    </row>
    <row r="149" ht="14.1" customHeight="1" spans="1:13">
      <c r="A149" s="22">
        <v>863</v>
      </c>
      <c r="B149" s="19"/>
      <c r="C149" s="19" t="s">
        <v>930</v>
      </c>
      <c r="D149" s="19" t="s">
        <v>39</v>
      </c>
      <c r="E149" s="19"/>
      <c r="F149" s="19"/>
      <c r="G149" s="24">
        <v>3467</v>
      </c>
      <c r="H149" s="23">
        <v>4400</v>
      </c>
      <c r="I149" s="23">
        <v>4917</v>
      </c>
      <c r="J149" s="24">
        <v>5942</v>
      </c>
      <c r="K149" s="24">
        <v>6817</v>
      </c>
      <c r="L149" s="24">
        <v>9383</v>
      </c>
      <c r="M149" s="19"/>
    </row>
    <row r="150" ht="14.1" customHeight="1" spans="1:13">
      <c r="A150" s="19"/>
      <c r="B150" s="19"/>
      <c r="C150" s="19"/>
      <c r="D150" s="19"/>
      <c r="E150" s="19"/>
      <c r="F150" s="19"/>
      <c r="G150" s="19"/>
      <c r="H150" s="21"/>
      <c r="I150" s="21"/>
      <c r="J150" s="19"/>
      <c r="K150" s="19"/>
      <c r="L150" s="19"/>
      <c r="M150" s="19"/>
    </row>
    <row r="151" ht="14.1" customHeight="1" spans="1:13">
      <c r="A151" s="2"/>
      <c r="B151" s="2"/>
      <c r="C151" s="2" t="s">
        <v>155</v>
      </c>
      <c r="D151" s="2"/>
      <c r="E151" s="2"/>
      <c r="F151" s="2"/>
      <c r="G151" s="2"/>
      <c r="H151" s="4"/>
      <c r="I151" s="4"/>
      <c r="J151" s="2"/>
      <c r="K151" s="2"/>
      <c r="L151" s="2"/>
      <c r="M151" s="2"/>
    </row>
    <row r="152" ht="14.1" customHeight="1" spans="1:13">
      <c r="A152" s="6"/>
      <c r="B152" s="5"/>
      <c r="C152" s="5"/>
      <c r="D152" s="5"/>
      <c r="E152" s="6"/>
      <c r="F152" s="6"/>
      <c r="G152" s="6"/>
      <c r="H152" s="8"/>
      <c r="I152" s="8"/>
      <c r="J152" s="6"/>
      <c r="K152" s="6"/>
      <c r="L152" s="6"/>
      <c r="M152" s="6"/>
    </row>
    <row r="153" ht="14.1" customHeight="1" spans="1:13">
      <c r="A153" s="5"/>
      <c r="B153" s="5"/>
      <c r="C153" s="5"/>
      <c r="D153" s="5"/>
      <c r="E153" s="5"/>
      <c r="F153" s="5"/>
      <c r="G153" s="5"/>
      <c r="H153" s="11"/>
      <c r="I153" s="11"/>
      <c r="J153" s="5"/>
      <c r="K153" s="5"/>
      <c r="L153" s="5"/>
      <c r="M153" s="5"/>
    </row>
    <row r="154" ht="14.1" customHeight="1" spans="1:13">
      <c r="A154" s="6"/>
      <c r="B154" s="5"/>
      <c r="C154" s="5"/>
      <c r="D154" s="5"/>
      <c r="E154" s="6"/>
      <c r="F154" s="6"/>
      <c r="G154" s="6"/>
      <c r="H154" s="8"/>
      <c r="I154" s="8"/>
      <c r="J154" s="6"/>
      <c r="K154" s="6"/>
      <c r="L154" s="6"/>
      <c r="M154" s="6"/>
    </row>
    <row r="155" ht="14.1" customHeight="1" spans="1:13">
      <c r="A155" s="25">
        <v>864</v>
      </c>
      <c r="B155" s="14"/>
      <c r="C155" s="14"/>
      <c r="D155" s="14"/>
      <c r="E155" s="26">
        <v>3365</v>
      </c>
      <c r="F155" s="26">
        <v>3988</v>
      </c>
      <c r="G155" s="26">
        <v>4448</v>
      </c>
      <c r="H155" s="27">
        <v>6087</v>
      </c>
      <c r="I155" s="27">
        <v>7478</v>
      </c>
      <c r="J155" s="26">
        <v>8775</v>
      </c>
      <c r="K155" s="26">
        <v>10165</v>
      </c>
      <c r="L155" s="26">
        <v>12487</v>
      </c>
      <c r="M155" s="26">
        <v>16054</v>
      </c>
    </row>
    <row r="156" ht="14.1" customHeight="1" spans="1:13">
      <c r="A156" s="19"/>
      <c r="B156" s="19"/>
      <c r="C156" s="19"/>
      <c r="D156" s="19"/>
      <c r="E156" s="19"/>
      <c r="F156" s="19"/>
      <c r="G156" s="19"/>
      <c r="H156" s="21"/>
      <c r="I156" s="21"/>
      <c r="J156" s="19"/>
      <c r="K156" s="19"/>
      <c r="L156" s="19"/>
      <c r="M156" s="19"/>
    </row>
    <row r="157" ht="14.1" customHeight="1" spans="1:13">
      <c r="A157" s="2"/>
      <c r="B157" s="2"/>
      <c r="C157" s="28" t="s">
        <v>933</v>
      </c>
      <c r="D157" s="2"/>
      <c r="E157" s="2"/>
      <c r="F157" s="2"/>
      <c r="G157" s="2"/>
      <c r="H157" s="4"/>
      <c r="I157" s="4"/>
      <c r="J157" s="2"/>
      <c r="K157" s="2"/>
      <c r="L157" s="2"/>
      <c r="M157" s="2"/>
    </row>
    <row r="158" ht="14.1" customHeight="1" spans="1:13">
      <c r="A158" s="5"/>
      <c r="B158" s="6"/>
      <c r="C158" s="29"/>
      <c r="D158" s="6"/>
      <c r="E158" s="5"/>
      <c r="F158" s="5"/>
      <c r="G158" s="6"/>
      <c r="H158" s="8"/>
      <c r="I158" s="8"/>
      <c r="J158" s="6"/>
      <c r="K158" s="6"/>
      <c r="L158" s="6"/>
      <c r="M158" s="6"/>
    </row>
    <row r="159" ht="25.5" customHeight="1" spans="1:13">
      <c r="A159" s="5"/>
      <c r="B159" s="5"/>
      <c r="C159" s="29"/>
      <c r="D159" s="30" t="s">
        <v>26</v>
      </c>
      <c r="E159" s="5"/>
      <c r="F159" s="5"/>
      <c r="G159" s="29" t="s">
        <v>820</v>
      </c>
      <c r="H159" s="11"/>
      <c r="I159" s="11"/>
      <c r="J159" s="5"/>
      <c r="K159" s="5"/>
      <c r="L159" s="5"/>
      <c r="M159" s="5"/>
    </row>
    <row r="160" ht="14.1" customHeight="1" spans="1:13">
      <c r="A160" s="5"/>
      <c r="B160" s="6"/>
      <c r="C160" s="29"/>
      <c r="D160" s="6"/>
      <c r="E160" s="5"/>
      <c r="F160" s="5"/>
      <c r="G160" s="6"/>
      <c r="H160" s="8"/>
      <c r="I160" s="8"/>
      <c r="J160" s="6"/>
      <c r="K160" s="6"/>
      <c r="L160" s="6"/>
      <c r="M160" s="6"/>
    </row>
    <row r="161" ht="14.1" customHeight="1" spans="1:13">
      <c r="A161" s="14"/>
      <c r="B161" s="15" t="s">
        <v>934</v>
      </c>
      <c r="C161" s="18"/>
      <c r="D161" s="31"/>
      <c r="E161" s="14"/>
      <c r="F161" s="14"/>
      <c r="G161" s="31"/>
      <c r="H161" s="18" t="s">
        <v>30</v>
      </c>
      <c r="I161" s="18" t="s">
        <v>31</v>
      </c>
      <c r="J161" s="18" t="s">
        <v>32</v>
      </c>
      <c r="K161" s="18" t="s">
        <v>33</v>
      </c>
      <c r="L161" s="18" t="s">
        <v>34</v>
      </c>
      <c r="M161" s="18" t="s">
        <v>35</v>
      </c>
    </row>
    <row r="162" ht="14.1" customHeight="1" spans="1:13">
      <c r="A162" s="19"/>
      <c r="B162" s="19"/>
      <c r="C162" s="20" t="s">
        <v>37</v>
      </c>
      <c r="D162" s="19"/>
      <c r="E162" s="19"/>
      <c r="F162" s="19"/>
      <c r="G162" s="19"/>
      <c r="H162" s="21"/>
      <c r="I162" s="21"/>
      <c r="J162" s="19"/>
      <c r="K162" s="19"/>
      <c r="L162" s="19"/>
      <c r="M162" s="19"/>
    </row>
    <row r="163" ht="14.1" customHeight="1" spans="1:13">
      <c r="A163" s="22">
        <v>865</v>
      </c>
      <c r="B163" s="19"/>
      <c r="C163" s="19" t="s">
        <v>835</v>
      </c>
      <c r="D163" s="19" t="s">
        <v>39</v>
      </c>
      <c r="E163" s="19"/>
      <c r="F163" s="19"/>
      <c r="G163" s="24">
        <v>3325</v>
      </c>
      <c r="H163" s="21"/>
      <c r="I163" s="21"/>
      <c r="J163" s="19"/>
      <c r="K163" s="19"/>
      <c r="L163" s="19"/>
      <c r="M163" s="19"/>
    </row>
    <row r="164" ht="14.1" customHeight="1" spans="1:13">
      <c r="A164" s="19"/>
      <c r="B164" s="19"/>
      <c r="C164" s="19"/>
      <c r="D164" s="19"/>
      <c r="E164" s="19"/>
      <c r="F164" s="19"/>
      <c r="G164" s="19"/>
      <c r="H164" s="21"/>
      <c r="I164" s="21"/>
      <c r="J164" s="19"/>
      <c r="K164" s="19"/>
      <c r="L164" s="19"/>
      <c r="M164" s="19"/>
    </row>
    <row r="165" ht="14.1" customHeight="1" spans="1:13">
      <c r="A165" s="19"/>
      <c r="B165" s="19"/>
      <c r="C165" s="20" t="s">
        <v>519</v>
      </c>
      <c r="D165" s="19"/>
      <c r="E165" s="19"/>
      <c r="F165" s="19"/>
      <c r="G165" s="19"/>
      <c r="H165" s="21"/>
      <c r="I165" s="21"/>
      <c r="J165" s="19"/>
      <c r="K165" s="19"/>
      <c r="L165" s="19"/>
      <c r="M165" s="19"/>
    </row>
    <row r="166" ht="14.1" customHeight="1" spans="1:13">
      <c r="A166" s="22">
        <v>866</v>
      </c>
      <c r="B166" s="19"/>
      <c r="C166" s="19" t="s">
        <v>935</v>
      </c>
      <c r="D166" s="19" t="s">
        <v>39</v>
      </c>
      <c r="E166" s="19"/>
      <c r="F166" s="19"/>
      <c r="G166" s="24">
        <v>3325</v>
      </c>
      <c r="H166" s="23">
        <v>4513</v>
      </c>
      <c r="I166" s="23">
        <v>4975</v>
      </c>
      <c r="J166" s="19"/>
      <c r="K166" s="19"/>
      <c r="L166" s="19"/>
      <c r="M166" s="19"/>
    </row>
    <row r="167" ht="14.1" customHeight="1" spans="1:13">
      <c r="A167" s="19"/>
      <c r="B167" s="19"/>
      <c r="C167" s="19"/>
      <c r="D167" s="19"/>
      <c r="E167" s="19"/>
      <c r="F167" s="19"/>
      <c r="G167" s="19"/>
      <c r="H167" s="21"/>
      <c r="I167" s="21"/>
      <c r="J167" s="19"/>
      <c r="K167" s="19"/>
      <c r="L167" s="19"/>
      <c r="M167" s="19"/>
    </row>
    <row r="168" ht="14.1" customHeight="1" spans="1:13">
      <c r="A168" s="22">
        <v>867</v>
      </c>
      <c r="B168" s="19"/>
      <c r="C168" s="19" t="s">
        <v>835</v>
      </c>
      <c r="D168" s="19" t="s">
        <v>39</v>
      </c>
      <c r="E168" s="19"/>
      <c r="F168" s="19"/>
      <c r="G168" s="24">
        <v>3325</v>
      </c>
      <c r="H168" s="23">
        <v>4513</v>
      </c>
      <c r="I168" s="23">
        <v>4975</v>
      </c>
      <c r="J168" s="19"/>
      <c r="K168" s="19"/>
      <c r="L168" s="19"/>
      <c r="M168" s="19"/>
    </row>
    <row r="169" ht="14.1" customHeight="1" spans="1:13">
      <c r="A169" s="19"/>
      <c r="B169" s="19"/>
      <c r="C169" s="19"/>
      <c r="D169" s="19"/>
      <c r="E169" s="19"/>
      <c r="F169" s="19"/>
      <c r="G169" s="19"/>
      <c r="H169" s="21"/>
      <c r="I169" s="21"/>
      <c r="J169" s="19"/>
      <c r="K169" s="19"/>
      <c r="L169" s="19"/>
      <c r="M169" s="19"/>
    </row>
    <row r="170" ht="14.1" customHeight="1" spans="1:13">
      <c r="A170" s="19"/>
      <c r="B170" s="19"/>
      <c r="C170" s="20" t="s">
        <v>217</v>
      </c>
      <c r="D170" s="19"/>
      <c r="E170" s="19"/>
      <c r="F170" s="19"/>
      <c r="G170" s="19"/>
      <c r="H170" s="21"/>
      <c r="I170" s="21"/>
      <c r="J170" s="19"/>
      <c r="K170" s="19"/>
      <c r="L170" s="19"/>
      <c r="M170" s="19"/>
    </row>
    <row r="171" ht="14.1" customHeight="1" spans="1:13">
      <c r="A171" s="22">
        <v>868</v>
      </c>
      <c r="B171" s="19"/>
      <c r="C171" s="19" t="s">
        <v>932</v>
      </c>
      <c r="D171" s="19" t="s">
        <v>39</v>
      </c>
      <c r="E171" s="19"/>
      <c r="F171" s="19"/>
      <c r="G171" s="24">
        <v>5238</v>
      </c>
      <c r="H171" s="23">
        <v>6400</v>
      </c>
      <c r="I171" s="23">
        <v>7488</v>
      </c>
      <c r="J171" s="24">
        <v>8775</v>
      </c>
      <c r="K171" s="24">
        <v>9425</v>
      </c>
      <c r="L171" s="19"/>
      <c r="M171" s="19"/>
    </row>
    <row r="172" ht="14.1" customHeight="1" spans="1:13">
      <c r="A172" s="19"/>
      <c r="B172" s="19"/>
      <c r="C172" s="19"/>
      <c r="D172" s="19"/>
      <c r="E172" s="19"/>
      <c r="F172" s="19"/>
      <c r="G172" s="19"/>
      <c r="H172" s="21"/>
      <c r="I172" s="21"/>
      <c r="J172" s="19"/>
      <c r="K172" s="19"/>
      <c r="L172" s="19"/>
      <c r="M172" s="19"/>
    </row>
    <row r="173" ht="14.1" customHeight="1" spans="1:13">
      <c r="A173" s="22">
        <v>869</v>
      </c>
      <c r="B173" s="19"/>
      <c r="C173" s="19" t="s">
        <v>936</v>
      </c>
      <c r="D173" s="19" t="s">
        <v>39</v>
      </c>
      <c r="E173" s="19"/>
      <c r="F173" s="19"/>
      <c r="G173" s="24">
        <v>4767</v>
      </c>
      <c r="H173" s="23">
        <v>5958</v>
      </c>
      <c r="I173" s="23">
        <v>7825</v>
      </c>
      <c r="J173" s="24">
        <v>9255</v>
      </c>
      <c r="K173" s="24">
        <v>10541</v>
      </c>
      <c r="L173" s="24">
        <v>11667</v>
      </c>
      <c r="M173" s="19"/>
    </row>
    <row r="174" ht="14.1" customHeight="1" spans="1:13">
      <c r="A174" s="19"/>
      <c r="B174" s="19"/>
      <c r="C174" s="19"/>
      <c r="D174" s="19"/>
      <c r="E174" s="19"/>
      <c r="F174" s="19"/>
      <c r="G174" s="19"/>
      <c r="H174" s="21"/>
      <c r="I174" s="21"/>
      <c r="J174" s="19"/>
      <c r="K174" s="19"/>
      <c r="L174" s="19"/>
      <c r="M174" s="19"/>
    </row>
    <row r="175" ht="14.1" customHeight="1" spans="1:13">
      <c r="A175" s="22">
        <v>870</v>
      </c>
      <c r="B175" s="19"/>
      <c r="C175" s="19" t="s">
        <v>937</v>
      </c>
      <c r="D175" s="19" t="s">
        <v>39</v>
      </c>
      <c r="E175" s="19"/>
      <c r="F175" s="19"/>
      <c r="G175" s="19"/>
      <c r="H175" s="21"/>
      <c r="I175" s="21"/>
      <c r="J175" s="19"/>
      <c r="K175" s="19"/>
      <c r="L175" s="19"/>
      <c r="M175" s="24">
        <v>9188</v>
      </c>
    </row>
    <row r="176" ht="14.1" customHeight="1" spans="1:13">
      <c r="A176" s="19"/>
      <c r="B176" s="19"/>
      <c r="C176" s="19"/>
      <c r="D176" s="19"/>
      <c r="E176" s="19"/>
      <c r="F176" s="19"/>
      <c r="G176" s="19"/>
      <c r="H176" s="21"/>
      <c r="I176" s="21"/>
      <c r="J176" s="19"/>
      <c r="K176" s="19"/>
      <c r="L176" s="19"/>
      <c r="M176" s="19"/>
    </row>
    <row r="177" ht="14.1" customHeight="1" spans="1:13">
      <c r="A177" s="19"/>
      <c r="B177" s="19"/>
      <c r="C177" s="20" t="s">
        <v>530</v>
      </c>
      <c r="D177" s="19"/>
      <c r="E177" s="19"/>
      <c r="F177" s="19"/>
      <c r="G177" s="19"/>
      <c r="H177" s="21"/>
      <c r="I177" s="21"/>
      <c r="J177" s="19"/>
      <c r="K177" s="19"/>
      <c r="L177" s="19"/>
      <c r="M177" s="19"/>
    </row>
    <row r="178" ht="14.1" customHeight="1" spans="1:13">
      <c r="A178" s="22">
        <v>871</v>
      </c>
      <c r="B178" s="19"/>
      <c r="C178" s="19" t="s">
        <v>938</v>
      </c>
      <c r="D178" s="19" t="s">
        <v>39</v>
      </c>
      <c r="E178" s="19"/>
      <c r="F178" s="19"/>
      <c r="G178" s="24">
        <v>2825</v>
      </c>
      <c r="H178" s="23">
        <v>4513</v>
      </c>
      <c r="I178" s="23">
        <v>4975</v>
      </c>
      <c r="J178" s="24">
        <v>5275</v>
      </c>
      <c r="K178" s="24">
        <v>6325</v>
      </c>
      <c r="L178" s="24">
        <v>8500</v>
      </c>
      <c r="M178" s="24">
        <v>9775</v>
      </c>
    </row>
    <row r="179" ht="14.1" customHeight="1" spans="1:13">
      <c r="A179" s="19"/>
      <c r="B179" s="19"/>
      <c r="C179" s="19"/>
      <c r="D179" s="19"/>
      <c r="E179" s="19"/>
      <c r="F179" s="19"/>
      <c r="G179" s="19"/>
      <c r="H179" s="21"/>
      <c r="I179" s="21"/>
      <c r="J179" s="19"/>
      <c r="K179" s="19"/>
      <c r="L179" s="19"/>
      <c r="M179" s="19"/>
    </row>
    <row r="180" ht="14.1" customHeight="1" spans="1:13">
      <c r="A180" s="2"/>
      <c r="B180" s="2"/>
      <c r="C180" s="2" t="s">
        <v>155</v>
      </c>
      <c r="D180" s="2"/>
      <c r="E180" s="2"/>
      <c r="F180" s="2"/>
      <c r="G180" s="2"/>
      <c r="H180" s="4"/>
      <c r="I180" s="4"/>
      <c r="J180" s="2"/>
      <c r="K180" s="2"/>
      <c r="L180" s="2"/>
      <c r="M180" s="2"/>
    </row>
    <row r="181" ht="14.1" customHeight="1" spans="1:13">
      <c r="A181" s="6"/>
      <c r="B181" s="5"/>
      <c r="C181" s="5"/>
      <c r="D181" s="5"/>
      <c r="E181" s="5"/>
      <c r="F181" s="5"/>
      <c r="G181" s="6"/>
      <c r="H181" s="8"/>
      <c r="I181" s="8"/>
      <c r="J181" s="6"/>
      <c r="K181" s="6"/>
      <c r="L181" s="6"/>
      <c r="M181" s="6"/>
    </row>
    <row r="182" ht="14.1" customHeight="1" spans="1:13">
      <c r="A182" s="5"/>
      <c r="B182" s="5"/>
      <c r="C182" s="5"/>
      <c r="D182" s="5"/>
      <c r="E182" s="5"/>
      <c r="F182" s="5"/>
      <c r="G182" s="5"/>
      <c r="H182" s="11"/>
      <c r="I182" s="11"/>
      <c r="J182" s="5"/>
      <c r="K182" s="5"/>
      <c r="L182" s="5"/>
      <c r="M182" s="5"/>
    </row>
    <row r="183" ht="14.1" customHeight="1" spans="1:13">
      <c r="A183" s="6"/>
      <c r="B183" s="5"/>
      <c r="C183" s="5"/>
      <c r="D183" s="5"/>
      <c r="E183" s="5"/>
      <c r="F183" s="5"/>
      <c r="G183" s="6"/>
      <c r="H183" s="8"/>
      <c r="I183" s="8"/>
      <c r="J183" s="6"/>
      <c r="K183" s="6"/>
      <c r="L183" s="6"/>
      <c r="M183" s="6"/>
    </row>
    <row r="184" ht="14.1" customHeight="1" spans="1:13">
      <c r="A184" s="25">
        <v>872</v>
      </c>
      <c r="B184" s="14"/>
      <c r="C184" s="14"/>
      <c r="D184" s="14"/>
      <c r="E184" s="14"/>
      <c r="F184" s="14"/>
      <c r="G184" s="26">
        <v>3801</v>
      </c>
      <c r="H184" s="27">
        <v>5179</v>
      </c>
      <c r="I184" s="27">
        <v>6048</v>
      </c>
      <c r="J184" s="26">
        <v>7768</v>
      </c>
      <c r="K184" s="26">
        <v>8764</v>
      </c>
      <c r="L184" s="26">
        <v>10083</v>
      </c>
      <c r="M184" s="26">
        <v>12100</v>
      </c>
    </row>
  </sheetData>
  <mergeCells count="14">
    <mergeCell ref="A1:A5"/>
    <mergeCell ref="A157:A161"/>
    <mergeCell ref="B151:B155"/>
    <mergeCell ref="B180:B184"/>
    <mergeCell ref="C1:C5"/>
    <mergeCell ref="C151:C155"/>
    <mergeCell ref="C157:C161"/>
    <mergeCell ref="C180:C184"/>
    <mergeCell ref="D151:D155"/>
    <mergeCell ref="D180:D184"/>
    <mergeCell ref="E157:E161"/>
    <mergeCell ref="E180:E184"/>
    <mergeCell ref="F157:F161"/>
    <mergeCell ref="F180:F18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AMPARO</vt:lpstr>
      <vt:lpstr>TABULADOR</vt:lpstr>
      <vt:lpstr>AUT 1.0 A 1.5</vt:lpstr>
      <vt:lpstr>TRACTORES DE CARRETERA-IGNORAR</vt:lpstr>
      <vt:lpstr>AUT 1.6 A 3.0</vt:lpstr>
      <vt:lpstr>AUT 3.1 en adelante</vt:lpstr>
      <vt:lpstr>CAM 1.6 A 3.0</vt:lpstr>
      <vt:lpstr>CAM 3.1 en adelante</vt:lpstr>
      <vt:lpstr>DEPORTIVOS-IGNORAR</vt:lpstr>
      <vt:lpstr>DIESEL-IGNORAR</vt:lpstr>
      <vt:lpstr>PICK UP´S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rodriguez</dc:creator>
  <cp:lastModifiedBy>eduardo.rdz</cp:lastModifiedBy>
  <dcterms:created xsi:type="dcterms:W3CDTF">2019-04-27T21:26:00Z</dcterms:created>
  <cp:lastPrinted>2026-02-24T22:29:00Z</cp:lastPrinted>
  <dcterms:modified xsi:type="dcterms:W3CDTF">2026-05-15T23:00:22Z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933F16A86C764E7EA3AE0F8E40B9B06C_12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